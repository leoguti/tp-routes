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ii\Desktop\"/>
    </mc:Choice>
  </mc:AlternateContent>
  <xr:revisionPtr revIDLastSave="0" documentId="13_ncr:1_{A8A16767-C368-4D2E-868B-FC1D7655B50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Lista de empresas" sheetId="4" r:id="rId1"/>
    <sheet name="Rutas" sheetId="2" r:id="rId2"/>
    <sheet name="Hoja2" sheetId="3" state="hidden" r:id="rId3"/>
  </sheets>
  <definedNames>
    <definedName name="_xlnm._FilterDatabase" localSheetId="1" hidden="1">Rutas!$C$3:$H$266</definedName>
    <definedName name="_xlnm.Print_Area" localSheetId="1">Rutas!$B$2:$I$267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1" i="2" l="1"/>
  <c r="C151" i="2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B4" i="3"/>
  <c r="B2" i="3"/>
  <c r="B3" i="3"/>
  <c r="B5" i="3"/>
  <c r="B6" i="3"/>
  <c r="B9" i="3"/>
  <c r="B10" i="3"/>
  <c r="B11" i="3"/>
  <c r="B12" i="3"/>
  <c r="B13" i="3"/>
  <c r="B15" i="3"/>
  <c r="B16" i="3"/>
  <c r="B17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7" i="3"/>
  <c r="B8" i="3"/>
  <c r="B18" i="3"/>
  <c r="B14" i="3"/>
  <c r="C150" i="2"/>
  <c r="C148" i="2"/>
  <c r="C149" i="2"/>
  <c r="C131" i="2"/>
  <c r="C138" i="2"/>
  <c r="C147" i="2"/>
  <c r="C146" i="2"/>
  <c r="C125" i="2"/>
  <c r="C266" i="2"/>
  <c r="C265" i="2"/>
  <c r="C264" i="2"/>
  <c r="C145" i="2"/>
  <c r="C260" i="2"/>
  <c r="C259" i="2"/>
  <c r="C144" i="2"/>
  <c r="C258" i="2"/>
  <c r="C257" i="2"/>
  <c r="C142" i="2"/>
  <c r="C141" i="2"/>
  <c r="C143" i="2"/>
  <c r="C255" i="2"/>
  <c r="C253" i="2"/>
  <c r="C252" i="2"/>
  <c r="C251" i="2"/>
  <c r="C250" i="2"/>
  <c r="C249" i="2"/>
  <c r="C248" i="2"/>
  <c r="C247" i="2"/>
  <c r="C246" i="2"/>
  <c r="C245" i="2"/>
  <c r="C244" i="2"/>
  <c r="C241" i="2"/>
  <c r="C240" i="2"/>
  <c r="C81" i="2"/>
  <c r="C140" i="2"/>
  <c r="C139" i="2"/>
  <c r="C136" i="2"/>
  <c r="C135" i="2"/>
  <c r="C134" i="2"/>
  <c r="C133" i="2"/>
  <c r="C130" i="2"/>
  <c r="C129" i="2"/>
  <c r="C128" i="2"/>
  <c r="C239" i="2"/>
  <c r="C237" i="2"/>
  <c r="C126" i="2"/>
  <c r="C120" i="2"/>
  <c r="C236" i="2"/>
  <c r="C235" i="2"/>
  <c r="C263" i="2"/>
  <c r="C232" i="2"/>
  <c r="C230" i="2"/>
  <c r="C262" i="2"/>
  <c r="C119" i="2"/>
  <c r="C117" i="2"/>
  <c r="C115" i="2"/>
  <c r="C114" i="2"/>
  <c r="C224" i="2"/>
  <c r="C218" i="2"/>
  <c r="C212" i="2"/>
  <c r="C206" i="2"/>
  <c r="C112" i="2"/>
  <c r="C108" i="2"/>
  <c r="C106" i="2"/>
  <c r="C104" i="2"/>
  <c r="C99" i="2"/>
  <c r="C94" i="2"/>
  <c r="C203" i="2"/>
  <c r="C202" i="2"/>
  <c r="C201" i="2"/>
  <c r="C199" i="2"/>
  <c r="C194" i="2"/>
  <c r="C191" i="2"/>
  <c r="C190" i="2"/>
  <c r="C189" i="2"/>
  <c r="C188" i="2"/>
  <c r="C187" i="2"/>
  <c r="C185" i="2"/>
  <c r="C184" i="2"/>
  <c r="C183" i="2"/>
  <c r="C181" i="2"/>
  <c r="C180" i="2"/>
  <c r="C178" i="2"/>
  <c r="C177" i="2"/>
  <c r="C175" i="2"/>
  <c r="C174" i="2"/>
  <c r="C171" i="2"/>
  <c r="C170" i="2"/>
  <c r="C169" i="2"/>
  <c r="C165" i="2"/>
  <c r="C163" i="2"/>
  <c r="C156" i="2"/>
  <c r="C157" i="2"/>
  <c r="C159" i="2"/>
  <c r="C161" i="2"/>
  <c r="C154" i="2"/>
  <c r="C87" i="2"/>
  <c r="C82" i="2"/>
  <c r="C76" i="2"/>
  <c r="C68" i="2"/>
  <c r="C65" i="2"/>
  <c r="C60" i="2"/>
  <c r="C8" i="2"/>
  <c r="C13" i="2"/>
  <c r="C14" i="2"/>
  <c r="C18" i="2"/>
  <c r="C20" i="2"/>
  <c r="C29" i="2"/>
  <c r="C37" i="2"/>
  <c r="C44" i="2"/>
  <c r="C50" i="2"/>
  <c r="C56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7F98A-AF42-4903-9E6D-9D029BA7F375}" keepAlive="1" name="Consulta - Page042" description="Conexión a la consulta 'Page042' en el libro." type="5" refreshedVersion="0" background="1">
    <dbPr connection="Provider=Microsoft.Mashup.OleDb.1;Data Source=$Workbook$;Location=Page042;Extended Properties=&quot;&quot;" command="SELECT * FROM [Page042]"/>
  </connection>
</connections>
</file>

<file path=xl/sharedStrings.xml><?xml version="1.0" encoding="utf-8"?>
<sst xmlns="http://schemas.openxmlformats.org/spreadsheetml/2006/main" count="904" uniqueCount="243">
  <si>
    <t>Origen</t>
  </si>
  <si>
    <t>Destino</t>
  </si>
  <si>
    <t>Arcabuco</t>
  </si>
  <si>
    <t>Directo</t>
  </si>
  <si>
    <t>Tunja</t>
  </si>
  <si>
    <t>Duitama</t>
  </si>
  <si>
    <t>Barbosa</t>
  </si>
  <si>
    <t>Garagoa</t>
  </si>
  <si>
    <t>Guateque</t>
  </si>
  <si>
    <t>Bucaramanga</t>
  </si>
  <si>
    <t>Guamal</t>
  </si>
  <si>
    <t>Arauca</t>
  </si>
  <si>
    <t>Chitaraque</t>
  </si>
  <si>
    <t>Yopal</t>
  </si>
  <si>
    <t>Aguazul</t>
  </si>
  <si>
    <t>Bogota</t>
  </si>
  <si>
    <t>Chiquinquira</t>
  </si>
  <si>
    <t>Samaca</t>
  </si>
  <si>
    <t>Saravena</t>
  </si>
  <si>
    <t>Paz de Ariporo</t>
  </si>
  <si>
    <t>Santa Marta</t>
  </si>
  <si>
    <t>Cartagena</t>
  </si>
  <si>
    <t>Aquitania</t>
  </si>
  <si>
    <t>Belen</t>
  </si>
  <si>
    <t>Belencito</t>
  </si>
  <si>
    <t>Chiscas</t>
  </si>
  <si>
    <t>El Banco</t>
  </si>
  <si>
    <t>Moniquira</t>
  </si>
  <si>
    <t>Socota</t>
  </si>
  <si>
    <t>Socha</t>
  </si>
  <si>
    <t>Pesca</t>
  </si>
  <si>
    <t>Ramiriqui</t>
  </si>
  <si>
    <t>Tame</t>
  </si>
  <si>
    <t>Sogamoso</t>
  </si>
  <si>
    <t>Santa Sofia</t>
  </si>
  <si>
    <t>Toca</t>
  </si>
  <si>
    <t>Puente Nacional</t>
  </si>
  <si>
    <t>Ventaquemada</t>
  </si>
  <si>
    <t>Tuta</t>
  </si>
  <si>
    <t>Raquira</t>
  </si>
  <si>
    <t>Oicata</t>
  </si>
  <si>
    <t>Sotaquira</t>
  </si>
  <si>
    <t>Umbita</t>
  </si>
  <si>
    <t>Chivor</t>
  </si>
  <si>
    <t>La Capilla</t>
  </si>
  <si>
    <t>ID</t>
  </si>
  <si>
    <t>Combita</t>
  </si>
  <si>
    <t>Cimitarra</t>
  </si>
  <si>
    <t>Tibana</t>
  </si>
  <si>
    <t>Vía</t>
  </si>
  <si>
    <t>Nobsa</t>
  </si>
  <si>
    <t>El Barne - La Playa</t>
  </si>
  <si>
    <t>Puente de Boyaca</t>
  </si>
  <si>
    <t>Nuevo Colon</t>
  </si>
  <si>
    <t>Puente de Boyaca - Tierra Negra</t>
  </si>
  <si>
    <t>Motavita</t>
  </si>
  <si>
    <t>El Salvial</t>
  </si>
  <si>
    <t>Siachoque</t>
  </si>
  <si>
    <t>Soraca</t>
  </si>
  <si>
    <t>Cienega</t>
  </si>
  <si>
    <t>Viracacha</t>
  </si>
  <si>
    <t>Turmeque</t>
  </si>
  <si>
    <t>Jenesano</t>
  </si>
  <si>
    <t>Santa Rosa de Viterbo - Cerinza</t>
  </si>
  <si>
    <t>Tunja - Duitama - Sogamoso</t>
  </si>
  <si>
    <t>Duitama - Capitalejo</t>
  </si>
  <si>
    <t>Chita</t>
  </si>
  <si>
    <t>Corrales</t>
  </si>
  <si>
    <t>Duitama - Sogamoso</t>
  </si>
  <si>
    <t>Autoboy S.A</t>
  </si>
  <si>
    <t>Floresta</t>
  </si>
  <si>
    <t>Duitama - Santa Rosa de Viterbo</t>
  </si>
  <si>
    <t>Gameza</t>
  </si>
  <si>
    <t>Coflonorte LTDA.</t>
  </si>
  <si>
    <t>Guican</t>
  </si>
  <si>
    <t>Cootransbol LTDA.</t>
  </si>
  <si>
    <t>Tunja - Duitama</t>
  </si>
  <si>
    <t>Capitalejo - El Cocuy - La Uvita</t>
  </si>
  <si>
    <t>Jerico</t>
  </si>
  <si>
    <t>Tunja - Duitama - Paz del Rio</t>
  </si>
  <si>
    <t>La Uvita</t>
  </si>
  <si>
    <t>Mongui</t>
  </si>
  <si>
    <t>Mongua</t>
  </si>
  <si>
    <t>Tunja - Sogamoso - Yopal</t>
  </si>
  <si>
    <t>Tunja - Duitama - Cerinza - Belen</t>
  </si>
  <si>
    <t>San Mateo</t>
  </si>
  <si>
    <t>Sativanorte</t>
  </si>
  <si>
    <t>Tasco</t>
  </si>
  <si>
    <t>Duitama - Santa Rosa de Viterbo - Belen</t>
  </si>
  <si>
    <t>El Rapido Duitama LTDA.</t>
  </si>
  <si>
    <t>Tota</t>
  </si>
  <si>
    <t>Sogamoso - Agua Azul</t>
  </si>
  <si>
    <t>Santana</t>
  </si>
  <si>
    <t>Tunja - Barbosa - Socorro - San Gil</t>
  </si>
  <si>
    <t>Cucuta</t>
  </si>
  <si>
    <t>Tunja - Duitama - Pamplona</t>
  </si>
  <si>
    <t>Comultransvilla</t>
  </si>
  <si>
    <t>Cooflotax</t>
  </si>
  <si>
    <t>San Pedro de Iguaque</t>
  </si>
  <si>
    <t>Piedra Gorda - Casablanca</t>
  </si>
  <si>
    <t>Sote</t>
  </si>
  <si>
    <t>Puente Boyaca</t>
  </si>
  <si>
    <t>Coopetran</t>
  </si>
  <si>
    <t>San Gil - Oiba - Barbosa - Tunja - Duitama</t>
  </si>
  <si>
    <t>Tunja - Bucaramanga - Aguachica</t>
  </si>
  <si>
    <t>Tunja - Bucaramanga - Aguachica - El Burro - Tamalameque - El Banco</t>
  </si>
  <si>
    <t>Puerto Berrio</t>
  </si>
  <si>
    <t>Barbosa -Tunja</t>
  </si>
  <si>
    <t>Expreso Gaviota</t>
  </si>
  <si>
    <t>Tunja - Moniquira - Barbosa</t>
  </si>
  <si>
    <t>Sachica</t>
  </si>
  <si>
    <t>Paipa</t>
  </si>
  <si>
    <t>La Reina</t>
  </si>
  <si>
    <t>Gambita</t>
  </si>
  <si>
    <t>Pauna</t>
  </si>
  <si>
    <t>Rondon</t>
  </si>
  <si>
    <t>Los Delfines</t>
  </si>
  <si>
    <t>Macanal</t>
  </si>
  <si>
    <t>Monterrey</t>
  </si>
  <si>
    <t>Guayata</t>
  </si>
  <si>
    <t xml:space="preserve"> Tibana - Garagoa</t>
  </si>
  <si>
    <t xml:space="preserve"> Tibana - Garagoa - Almeida</t>
  </si>
  <si>
    <t>Sisga</t>
  </si>
  <si>
    <t>Expreso Los Patriotas</t>
  </si>
  <si>
    <t>Tenza - Sisga</t>
  </si>
  <si>
    <t>Ocaña</t>
  </si>
  <si>
    <t>Tunja - Bucaramanga</t>
  </si>
  <si>
    <t>Omega</t>
  </si>
  <si>
    <t>Togui</t>
  </si>
  <si>
    <t>Barrancabermeja</t>
  </si>
  <si>
    <t>Guadalupe</t>
  </si>
  <si>
    <t>Suaita</t>
  </si>
  <si>
    <t>Velez</t>
  </si>
  <si>
    <t>Miraflores</t>
  </si>
  <si>
    <t>Paez</t>
  </si>
  <si>
    <t>Toca - Pesca</t>
  </si>
  <si>
    <t>Gachantiva</t>
  </si>
  <si>
    <t>Cotransricaute</t>
  </si>
  <si>
    <t>Moniquira - Barbosa</t>
  </si>
  <si>
    <t>Sogamoso - Firavitova - El Crucero</t>
  </si>
  <si>
    <t>Transportes Bolivar S.A</t>
  </si>
  <si>
    <t>Tunja - Miraflores</t>
  </si>
  <si>
    <t>San Eduardo</t>
  </si>
  <si>
    <t>Villanueva</t>
  </si>
  <si>
    <t>Flota Sugamuxi S.A.</t>
  </si>
  <si>
    <t>Garagoa - San Luis de Gaceno</t>
  </si>
  <si>
    <t>Socha - Tame - Fortul</t>
  </si>
  <si>
    <t>Duitama - Tunja</t>
  </si>
  <si>
    <t>Sogamoso - Tunja - Oiba - San Gil</t>
  </si>
  <si>
    <t>Sogamoso - Tunja</t>
  </si>
  <si>
    <t>Flota Valle de Tenza S.A</t>
  </si>
  <si>
    <t>Garagoa - Tibana</t>
  </si>
  <si>
    <t>Tibana - Chinavita</t>
  </si>
  <si>
    <t>La Union</t>
  </si>
  <si>
    <t>Tibana - Garagoa - Santa Maria</t>
  </si>
  <si>
    <t>Tibana - San Luis de Gaceno</t>
  </si>
  <si>
    <t>Tibana - Garagoa - Tenza</t>
  </si>
  <si>
    <t>Pachavita</t>
  </si>
  <si>
    <t>Frontera</t>
  </si>
  <si>
    <t>Villa de Leyva</t>
  </si>
  <si>
    <t>Santa Rosa de Viterbo</t>
  </si>
  <si>
    <t>Paz de Rio</t>
  </si>
  <si>
    <t>Arcotrans</t>
  </si>
  <si>
    <t>Gran Colombiana</t>
  </si>
  <si>
    <t>Los Muiscas</t>
  </si>
  <si>
    <t>Berlinas</t>
  </si>
  <si>
    <t>Cootransbolivar</t>
  </si>
  <si>
    <t>Cooperativa Santandereana</t>
  </si>
  <si>
    <t>Cootracero LTDA.</t>
  </si>
  <si>
    <t>Cootrachica</t>
  </si>
  <si>
    <t>Cootransvalle Samaca</t>
  </si>
  <si>
    <t>Copetran</t>
  </si>
  <si>
    <t>Expreso Paz del Rio S.A</t>
  </si>
  <si>
    <t>Flota Boyaca</t>
  </si>
  <si>
    <t>La Verde</t>
  </si>
  <si>
    <t>Transpino S.A</t>
  </si>
  <si>
    <t>Trassander</t>
  </si>
  <si>
    <t>"Empresa"</t>
  </si>
  <si>
    <t>Brasilia</t>
  </si>
  <si>
    <t>Citracom</t>
  </si>
  <si>
    <t>Bogotá</t>
  </si>
  <si>
    <t>Coflonorte</t>
  </si>
  <si>
    <t>Autoboy</t>
  </si>
  <si>
    <t>Comultrasnvilla</t>
  </si>
  <si>
    <t>Cootracero</t>
  </si>
  <si>
    <t>Cootrasnvalle Samaca</t>
  </si>
  <si>
    <t>F. Magdalena</t>
  </si>
  <si>
    <t>Los Patriotas</t>
  </si>
  <si>
    <t>PazdeRio</t>
  </si>
  <si>
    <t>Rapido Duitama</t>
  </si>
  <si>
    <t>Ricaurte</t>
  </si>
  <si>
    <t>Simon Bolivar</t>
  </si>
  <si>
    <t>Sugamuxi</t>
  </si>
  <si>
    <t>Trans Pino</t>
  </si>
  <si>
    <t>Valle de Tenza</t>
  </si>
  <si>
    <t>1 RESOLUCIÒN 493 DE 1993</t>
  </si>
  <si>
    <t>RESOLUCIÓN 493 DE 1993</t>
  </si>
  <si>
    <t>RESOLUCION MINISTERIO RUTA TUNJA</t>
  </si>
  <si>
    <t>RES 493 15-12-93</t>
  </si>
  <si>
    <t>EMPRESAS</t>
  </si>
  <si>
    <t>2 RESOLUCIÓN NO. 2634 DEL 31 DE MAYO DE 1993</t>
  </si>
  <si>
    <t>RESOLUCION 0104 DE 1999</t>
  </si>
  <si>
    <t>1. RESO. NO. 3335 HABILITACIÓN INTERMUNICIPAL_ RUTAS Y CAPACIDAD (1)</t>
  </si>
  <si>
    <t>RESOLUCIÓN NO. 1368 DEL 16 DE MARZO DE 1993</t>
  </si>
  <si>
    <t>RES 457 21--01-93</t>
  </si>
  <si>
    <t>RESOLUCIÓN</t>
  </si>
  <si>
    <t>3 RESOLUCIÒN 000599 DE 2005</t>
  </si>
  <si>
    <t>Resolución 4598</t>
  </si>
  <si>
    <t>RESOLUCION 1044</t>
  </si>
  <si>
    <t>5 RESOLUCIÒN 305 1993</t>
  </si>
  <si>
    <t>7 RESOLUCIÒN 315 DE 1993</t>
  </si>
  <si>
    <t>RESOLUCIÓN 2913 DE 1994</t>
  </si>
  <si>
    <t>RES 315 25-08-93</t>
  </si>
  <si>
    <t>RESOLUCIÓN 0186</t>
  </si>
  <si>
    <t>Resolucion Habilitacion</t>
  </si>
  <si>
    <t>RESOLUCION 007</t>
  </si>
  <si>
    <t>RESOLUCION 305 24-08-93</t>
  </si>
  <si>
    <t>RESOLUCIÓN 07 Diciembre 2010</t>
  </si>
  <si>
    <t>8 RESOLUCION 001202 DE 08 ABRIL DE 2010</t>
  </si>
  <si>
    <t>RESOLUCIÓN 1202 DE 2010</t>
  </si>
  <si>
    <t>EMPRESA</t>
  </si>
  <si>
    <t>RESOLUCION 0619 DEL 2002 POR LA CUAL SE RECONOCEN RUTAS Y HORAR</t>
  </si>
  <si>
    <t>Chiquiza</t>
  </si>
  <si>
    <t>9 RESOLUCION 000664 DE 28 FEBRERO DE 2012</t>
  </si>
  <si>
    <t>RESOLUCION 01535</t>
  </si>
  <si>
    <t>RESOLUCION 00947</t>
  </si>
  <si>
    <t>res 1535</t>
  </si>
  <si>
    <t>Resolucion 0135</t>
  </si>
  <si>
    <t>Resolucion 3536</t>
  </si>
  <si>
    <t>RESO 5216-RUTAS VARIAS</t>
  </si>
  <si>
    <t>RESO 915</t>
  </si>
  <si>
    <t>RESO 4952</t>
  </si>
  <si>
    <t>RESO 4356</t>
  </si>
  <si>
    <t>RESO 1535</t>
  </si>
  <si>
    <t>RESO 158</t>
  </si>
  <si>
    <t>RESOL. 948 GAVIOTA</t>
  </si>
  <si>
    <t>RESOL. 652 GAVIOTA</t>
  </si>
  <si>
    <t>resolución 1995 de 1993</t>
  </si>
  <si>
    <t>Ubate - Chiquinquira - Samaca</t>
  </si>
  <si>
    <t>Resolucion 600 Trnas Reina Tunja</t>
  </si>
  <si>
    <t>Resolucion 403</t>
  </si>
  <si>
    <t>Res. 1222 del 04-03-1992 Modif Res. 3506 del 24-11-2004</t>
  </si>
  <si>
    <t>Resolucion 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</si>
</sst>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1" fillId="0" borderId="49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60BA-1114-4872-8EDB-A9D1D927DEC5}">
  <dimension ref="A1:A31"/>
  <sheetViews>
    <sheetView workbookViewId="0">
      <selection activeCell="C10" sqref="C10"/>
    </sheetView>
  </sheetViews>
  <sheetFormatPr baseColWidth="10" defaultRowHeight="12.75" x14ac:dyDescent="0.2"/>
  <cols>
    <col min="1" max="1" width="19.5703125" bestFit="1" customWidth="1"/>
  </cols>
  <sheetData>
    <row r="1" spans="1:1" x14ac:dyDescent="0.2">
      <c r="A1" s="24" t="s">
        <v>199</v>
      </c>
    </row>
    <row r="2" spans="1:1" x14ac:dyDescent="0.2">
      <c r="A2" s="23" t="s">
        <v>162</v>
      </c>
    </row>
    <row r="3" spans="1:1" x14ac:dyDescent="0.2">
      <c r="A3" s="23" t="s">
        <v>182</v>
      </c>
    </row>
    <row r="4" spans="1:1" x14ac:dyDescent="0.2">
      <c r="A4" s="23" t="s">
        <v>165</v>
      </c>
    </row>
    <row r="5" spans="1:1" x14ac:dyDescent="0.2">
      <c r="A5" s="23" t="s">
        <v>178</v>
      </c>
    </row>
    <row r="6" spans="1:1" x14ac:dyDescent="0.2">
      <c r="A6" s="23" t="s">
        <v>179</v>
      </c>
    </row>
    <row r="7" spans="1:1" x14ac:dyDescent="0.2">
      <c r="A7" s="23" t="s">
        <v>181</v>
      </c>
    </row>
    <row r="8" spans="1:1" x14ac:dyDescent="0.2">
      <c r="A8" s="23" t="s">
        <v>183</v>
      </c>
    </row>
    <row r="9" spans="1:1" x14ac:dyDescent="0.2">
      <c r="A9" s="23" t="s">
        <v>97</v>
      </c>
    </row>
    <row r="10" spans="1:1" x14ac:dyDescent="0.2">
      <c r="A10" s="23" t="s">
        <v>184</v>
      </c>
    </row>
    <row r="11" spans="1:1" x14ac:dyDescent="0.2">
      <c r="A11" s="23" t="s">
        <v>169</v>
      </c>
    </row>
    <row r="12" spans="1:1" x14ac:dyDescent="0.2">
      <c r="A12" s="23" t="s">
        <v>185</v>
      </c>
    </row>
    <row r="13" spans="1:1" x14ac:dyDescent="0.2">
      <c r="A13" s="23" t="s">
        <v>171</v>
      </c>
    </row>
    <row r="14" spans="1:1" x14ac:dyDescent="0.2">
      <c r="A14" s="23" t="s">
        <v>108</v>
      </c>
    </row>
    <row r="15" spans="1:1" x14ac:dyDescent="0.2">
      <c r="A15" s="23" t="s">
        <v>186</v>
      </c>
    </row>
    <row r="16" spans="1:1" x14ac:dyDescent="0.2">
      <c r="A16" s="23" t="s">
        <v>173</v>
      </c>
    </row>
    <row r="17" spans="1:1" x14ac:dyDescent="0.2">
      <c r="A17" s="23" t="s">
        <v>163</v>
      </c>
    </row>
    <row r="18" spans="1:1" x14ac:dyDescent="0.2">
      <c r="A18" s="23" t="s">
        <v>112</v>
      </c>
    </row>
    <row r="19" spans="1:1" x14ac:dyDescent="0.2">
      <c r="A19" s="23" t="s">
        <v>174</v>
      </c>
    </row>
    <row r="20" spans="1:1" x14ac:dyDescent="0.2">
      <c r="A20" s="23" t="s">
        <v>116</v>
      </c>
    </row>
    <row r="21" spans="1:1" x14ac:dyDescent="0.2">
      <c r="A21" s="23" t="s">
        <v>164</v>
      </c>
    </row>
    <row r="22" spans="1:1" x14ac:dyDescent="0.2">
      <c r="A22" s="23" t="s">
        <v>187</v>
      </c>
    </row>
    <row r="23" spans="1:1" x14ac:dyDescent="0.2">
      <c r="A23" s="23" t="s">
        <v>127</v>
      </c>
    </row>
    <row r="24" spans="1:1" x14ac:dyDescent="0.2">
      <c r="A24" s="23" t="s">
        <v>188</v>
      </c>
    </row>
    <row r="25" spans="1:1" x14ac:dyDescent="0.2">
      <c r="A25" s="23" t="s">
        <v>189</v>
      </c>
    </row>
    <row r="26" spans="1:1" x14ac:dyDescent="0.2">
      <c r="A26" s="23" t="s">
        <v>190</v>
      </c>
    </row>
    <row r="27" spans="1:1" x14ac:dyDescent="0.2">
      <c r="A27" s="23" t="s">
        <v>191</v>
      </c>
    </row>
    <row r="28" spans="1:1" x14ac:dyDescent="0.2">
      <c r="A28" s="23" t="s">
        <v>192</v>
      </c>
    </row>
    <row r="29" spans="1:1" x14ac:dyDescent="0.2">
      <c r="A29" s="23" t="s">
        <v>193</v>
      </c>
    </row>
    <row r="30" spans="1:1" x14ac:dyDescent="0.2">
      <c r="A30" s="23" t="s">
        <v>176</v>
      </c>
    </row>
    <row r="31" spans="1:1" x14ac:dyDescent="0.2">
      <c r="A31" s="23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C4F2-E0B3-4A15-B25A-424312E6DDA8}">
  <sheetPr codeName="Hoja2"/>
  <dimension ref="B1:L267"/>
  <sheetViews>
    <sheetView showGridLines="0" tabSelected="1" view="pageBreakPreview" zoomScale="85" zoomScaleNormal="70" zoomScaleSheetLayoutView="85" zoomScalePageLayoutView="10" workbookViewId="0">
      <selection activeCell="G8" sqref="G8:G12"/>
    </sheetView>
  </sheetViews>
  <sheetFormatPr baseColWidth="10" defaultRowHeight="12.75" x14ac:dyDescent="0.2"/>
  <cols>
    <col min="1" max="2" width="4.7109375" style="1" customWidth="1"/>
    <col min="3" max="3" width="31.140625" style="2" customWidth="1"/>
    <col min="4" max="4" width="13.28515625" style="1" customWidth="1"/>
    <col min="5" max="5" width="15.140625" style="1" customWidth="1"/>
    <col min="6" max="6" width="19.5703125" style="2" bestFit="1" customWidth="1"/>
    <col min="7" max="8" width="40.42578125" style="2" customWidth="1"/>
    <col min="9" max="9" width="4.7109375" style="1" customWidth="1"/>
    <col min="10" max="10" width="11.42578125" style="1"/>
    <col min="12" max="16384" width="11.42578125" style="1"/>
  </cols>
  <sheetData>
    <row r="1" spans="2:9" ht="13.5" thickBot="1" x14ac:dyDescent="0.25"/>
    <row r="2" spans="2:9" ht="12.75" customHeight="1" thickBot="1" x14ac:dyDescent="0.25">
      <c r="B2" s="3"/>
      <c r="C2" s="4"/>
      <c r="D2" s="5"/>
      <c r="E2" s="5"/>
      <c r="F2" s="4"/>
      <c r="G2" s="4"/>
      <c r="H2" s="4"/>
      <c r="I2" s="6"/>
    </row>
    <row r="3" spans="2:9" ht="13.5" thickBot="1" x14ac:dyDescent="0.25">
      <c r="B3" s="7"/>
      <c r="C3" s="20" t="s">
        <v>45</v>
      </c>
      <c r="D3" s="21" t="s">
        <v>0</v>
      </c>
      <c r="E3" s="21" t="s">
        <v>1</v>
      </c>
      <c r="F3" s="22" t="s">
        <v>220</v>
      </c>
      <c r="G3" s="22" t="s">
        <v>49</v>
      </c>
      <c r="H3" s="22" t="s">
        <v>205</v>
      </c>
      <c r="I3" s="8"/>
    </row>
    <row r="4" spans="2:9" x14ac:dyDescent="0.2">
      <c r="B4" s="7"/>
      <c r="C4" s="69" t="str">
        <f t="shared" ref="C4:C142" si="0">CONCATENATE(D4," - ",E4)</f>
        <v>Tunja - Sogamoso</v>
      </c>
      <c r="D4" s="70" t="s">
        <v>4</v>
      </c>
      <c r="E4" s="71" t="s">
        <v>33</v>
      </c>
      <c r="F4" s="28" t="s">
        <v>182</v>
      </c>
      <c r="G4" s="47" t="s">
        <v>50</v>
      </c>
      <c r="H4" s="28" t="s">
        <v>195</v>
      </c>
      <c r="I4" s="18"/>
    </row>
    <row r="5" spans="2:9" x14ac:dyDescent="0.2">
      <c r="B5" s="7"/>
      <c r="C5" s="72"/>
      <c r="D5" s="73"/>
      <c r="E5" s="74"/>
      <c r="F5" s="29" t="s">
        <v>181</v>
      </c>
      <c r="G5" s="48"/>
      <c r="H5" s="29" t="s">
        <v>196</v>
      </c>
      <c r="I5" s="18"/>
    </row>
    <row r="6" spans="2:9" x14ac:dyDescent="0.2">
      <c r="B6" s="7"/>
      <c r="C6" s="72"/>
      <c r="D6" s="73"/>
      <c r="E6" s="74"/>
      <c r="F6" s="29" t="s">
        <v>184</v>
      </c>
      <c r="G6" s="48"/>
      <c r="H6" s="29" t="s">
        <v>197</v>
      </c>
      <c r="I6" s="18"/>
    </row>
    <row r="7" spans="2:9" ht="13.5" thickBot="1" x14ac:dyDescent="0.25">
      <c r="B7" s="7"/>
      <c r="C7" s="75"/>
      <c r="D7" s="76"/>
      <c r="E7" s="77"/>
      <c r="F7" s="30" t="s">
        <v>169</v>
      </c>
      <c r="G7" s="49"/>
      <c r="H7" s="30" t="s">
        <v>198</v>
      </c>
      <c r="I7" s="18"/>
    </row>
    <row r="8" spans="2:9" ht="25.5" x14ac:dyDescent="0.2">
      <c r="B8" s="7"/>
      <c r="C8" s="69" t="str">
        <f t="shared" si="0"/>
        <v>Tunja - Duitama</v>
      </c>
      <c r="D8" s="70" t="s">
        <v>4</v>
      </c>
      <c r="E8" s="71" t="s">
        <v>5</v>
      </c>
      <c r="F8" s="78" t="s">
        <v>182</v>
      </c>
      <c r="G8" s="50" t="s">
        <v>3</v>
      </c>
      <c r="H8" s="31" t="s">
        <v>200</v>
      </c>
      <c r="I8" s="8"/>
    </row>
    <row r="9" spans="2:9" ht="25.5" x14ac:dyDescent="0.2">
      <c r="B9" s="7"/>
      <c r="C9" s="72"/>
      <c r="D9" s="73"/>
      <c r="E9" s="74"/>
      <c r="F9" s="79"/>
      <c r="G9" s="129"/>
      <c r="H9" s="32" t="s">
        <v>203</v>
      </c>
      <c r="I9" s="8"/>
    </row>
    <row r="10" spans="2:9" x14ac:dyDescent="0.2">
      <c r="B10" s="7"/>
      <c r="C10" s="72"/>
      <c r="D10" s="73"/>
      <c r="E10" s="74"/>
      <c r="F10" s="29" t="s">
        <v>97</v>
      </c>
      <c r="G10" s="129"/>
      <c r="H10" s="32" t="s">
        <v>201</v>
      </c>
      <c r="I10" s="8"/>
    </row>
    <row r="11" spans="2:9" ht="25.5" x14ac:dyDescent="0.2">
      <c r="B11" s="7"/>
      <c r="C11" s="72"/>
      <c r="D11" s="73"/>
      <c r="E11" s="74"/>
      <c r="F11" s="29" t="s">
        <v>191</v>
      </c>
      <c r="G11" s="129"/>
      <c r="H11" s="32" t="s">
        <v>202</v>
      </c>
      <c r="I11" s="8"/>
    </row>
    <row r="12" spans="2:9" ht="13.5" thickBot="1" x14ac:dyDescent="0.25">
      <c r="B12" s="7"/>
      <c r="C12" s="75"/>
      <c r="D12" s="76"/>
      <c r="E12" s="77"/>
      <c r="F12" s="30" t="s">
        <v>169</v>
      </c>
      <c r="G12" s="51"/>
      <c r="H12" s="33" t="s">
        <v>204</v>
      </c>
      <c r="I12" s="8"/>
    </row>
    <row r="13" spans="2:9" ht="22.5" customHeight="1" thickBot="1" x14ac:dyDescent="0.25">
      <c r="B13" s="7"/>
      <c r="C13" s="80" t="str">
        <f>CONCATENATE(D13," - ",E13)</f>
        <v>Tunja - Santa Sofia</v>
      </c>
      <c r="D13" s="81" t="s">
        <v>4</v>
      </c>
      <c r="E13" s="82" t="s">
        <v>34</v>
      </c>
      <c r="F13" s="43" t="s">
        <v>182</v>
      </c>
      <c r="G13" s="124" t="s">
        <v>3</v>
      </c>
      <c r="H13" s="34" t="s">
        <v>206</v>
      </c>
      <c r="I13" s="8"/>
    </row>
    <row r="14" spans="2:9" x14ac:dyDescent="0.2">
      <c r="B14" s="7"/>
      <c r="C14" s="83" t="str">
        <f>CONCATENATE(D14," - ",E14)</f>
        <v>Tunja - Toca</v>
      </c>
      <c r="D14" s="84" t="s">
        <v>4</v>
      </c>
      <c r="E14" s="85" t="s">
        <v>35</v>
      </c>
      <c r="F14" s="28" t="s">
        <v>116</v>
      </c>
      <c r="G14" s="52" t="s">
        <v>3</v>
      </c>
      <c r="H14" s="31" t="s">
        <v>206</v>
      </c>
      <c r="I14" s="8"/>
    </row>
    <row r="15" spans="2:9" x14ac:dyDescent="0.2">
      <c r="B15" s="7"/>
      <c r="C15" s="86"/>
      <c r="D15" s="87"/>
      <c r="E15" s="88"/>
      <c r="F15" s="29" t="s">
        <v>189</v>
      </c>
      <c r="G15" s="53"/>
      <c r="H15" s="32" t="s">
        <v>207</v>
      </c>
      <c r="I15" s="8"/>
    </row>
    <row r="16" spans="2:9" x14ac:dyDescent="0.2">
      <c r="B16" s="7"/>
      <c r="C16" s="86"/>
      <c r="D16" s="87"/>
      <c r="E16" s="88"/>
      <c r="F16" s="29" t="s">
        <v>190</v>
      </c>
      <c r="G16" s="53"/>
      <c r="H16" s="35" t="s">
        <v>208</v>
      </c>
      <c r="I16" s="8"/>
    </row>
    <row r="17" spans="2:9" ht="26.25" thickBot="1" x14ac:dyDescent="0.25">
      <c r="B17" s="7"/>
      <c r="C17" s="89"/>
      <c r="D17" s="90"/>
      <c r="E17" s="91"/>
      <c r="F17" s="30" t="s">
        <v>191</v>
      </c>
      <c r="G17" s="54"/>
      <c r="H17" s="33" t="s">
        <v>202</v>
      </c>
      <c r="I17" s="8"/>
    </row>
    <row r="18" spans="2:9" x14ac:dyDescent="0.2">
      <c r="B18" s="7"/>
      <c r="C18" s="92" t="str">
        <f>CONCATENATE(D18," - ",E18)</f>
        <v>Tunja - Puente Nacional</v>
      </c>
      <c r="D18" s="93" t="s">
        <v>4</v>
      </c>
      <c r="E18" s="94" t="s">
        <v>36</v>
      </c>
      <c r="F18" s="38" t="s">
        <v>182</v>
      </c>
      <c r="G18" s="129" t="s">
        <v>138</v>
      </c>
      <c r="H18" s="36" t="s">
        <v>206</v>
      </c>
      <c r="I18" s="8"/>
    </row>
    <row r="19" spans="2:9" ht="13.5" thickBot="1" x14ac:dyDescent="0.25">
      <c r="B19" s="7"/>
      <c r="C19" s="95"/>
      <c r="D19" s="96"/>
      <c r="E19" s="97"/>
      <c r="F19" s="37" t="s">
        <v>190</v>
      </c>
      <c r="G19" s="129"/>
      <c r="H19" s="35" t="s">
        <v>208</v>
      </c>
      <c r="I19" s="8"/>
    </row>
    <row r="20" spans="2:9" x14ac:dyDescent="0.2">
      <c r="B20" s="7"/>
      <c r="C20" s="83" t="str">
        <f t="shared" si="0"/>
        <v>Tunja - Combita</v>
      </c>
      <c r="D20" s="84" t="s">
        <v>4</v>
      </c>
      <c r="E20" s="85" t="s">
        <v>46</v>
      </c>
      <c r="F20" s="78" t="s">
        <v>182</v>
      </c>
      <c r="G20" s="47" t="s">
        <v>3</v>
      </c>
      <c r="H20" s="28" t="s">
        <v>209</v>
      </c>
      <c r="I20" s="8"/>
    </row>
    <row r="21" spans="2:9" x14ac:dyDescent="0.2">
      <c r="B21" s="7"/>
      <c r="C21" s="86"/>
      <c r="D21" s="87"/>
      <c r="E21" s="88"/>
      <c r="F21" s="79"/>
      <c r="G21" s="48"/>
      <c r="H21" s="29" t="s">
        <v>210</v>
      </c>
      <c r="I21" s="8"/>
    </row>
    <row r="22" spans="2:9" x14ac:dyDescent="0.2">
      <c r="B22" s="7"/>
      <c r="C22" s="86"/>
      <c r="D22" s="87"/>
      <c r="E22" s="88"/>
      <c r="F22" s="29" t="s">
        <v>179</v>
      </c>
      <c r="G22" s="48"/>
      <c r="H22" s="29" t="s">
        <v>211</v>
      </c>
      <c r="I22" s="8"/>
    </row>
    <row r="23" spans="2:9" x14ac:dyDescent="0.2">
      <c r="B23" s="7"/>
      <c r="C23" s="86"/>
      <c r="D23" s="87"/>
      <c r="E23" s="88"/>
      <c r="F23" s="29" t="s">
        <v>97</v>
      </c>
      <c r="G23" s="48"/>
      <c r="H23" s="34" t="s">
        <v>201</v>
      </c>
      <c r="I23" s="8"/>
    </row>
    <row r="24" spans="2:9" x14ac:dyDescent="0.2">
      <c r="B24" s="7"/>
      <c r="C24" s="86"/>
      <c r="D24" s="87"/>
      <c r="E24" s="88"/>
      <c r="F24" s="29" t="s">
        <v>169</v>
      </c>
      <c r="G24" s="48"/>
      <c r="H24" s="29" t="s">
        <v>212</v>
      </c>
      <c r="I24" s="8"/>
    </row>
    <row r="25" spans="2:9" x14ac:dyDescent="0.2">
      <c r="B25" s="7"/>
      <c r="C25" s="86"/>
      <c r="D25" s="87"/>
      <c r="E25" s="88"/>
      <c r="F25" s="29" t="s">
        <v>163</v>
      </c>
      <c r="G25" s="48"/>
      <c r="H25" s="29" t="s">
        <v>213</v>
      </c>
      <c r="I25" s="8"/>
    </row>
    <row r="26" spans="2:9" x14ac:dyDescent="0.2">
      <c r="B26" s="7"/>
      <c r="C26" s="86"/>
      <c r="D26" s="87"/>
      <c r="E26" s="88"/>
      <c r="F26" s="29" t="s">
        <v>116</v>
      </c>
      <c r="G26" s="48"/>
      <c r="H26" s="29" t="s">
        <v>214</v>
      </c>
      <c r="I26" s="8"/>
    </row>
    <row r="27" spans="2:9" x14ac:dyDescent="0.2">
      <c r="B27" s="7"/>
      <c r="C27" s="86"/>
      <c r="D27" s="87"/>
      <c r="E27" s="88"/>
      <c r="F27" s="29" t="s">
        <v>164</v>
      </c>
      <c r="G27" s="48"/>
      <c r="H27" s="29" t="s">
        <v>215</v>
      </c>
      <c r="I27" s="8"/>
    </row>
    <row r="28" spans="2:9" ht="13.5" thickBot="1" x14ac:dyDescent="0.25">
      <c r="B28" s="7"/>
      <c r="C28" s="89"/>
      <c r="D28" s="90"/>
      <c r="E28" s="91"/>
      <c r="F28" s="30" t="s">
        <v>192</v>
      </c>
      <c r="G28" s="49"/>
      <c r="H28" s="30" t="s">
        <v>216</v>
      </c>
      <c r="I28" s="8"/>
    </row>
    <row r="29" spans="2:9" x14ac:dyDescent="0.2">
      <c r="B29" s="7"/>
      <c r="C29" s="83" t="str">
        <f>CONCATENATE(D29," - ",E29)</f>
        <v>Tunja - Tuta</v>
      </c>
      <c r="D29" s="84" t="s">
        <v>4</v>
      </c>
      <c r="E29" s="85" t="s">
        <v>38</v>
      </c>
      <c r="F29" s="58" t="s">
        <v>182</v>
      </c>
      <c r="G29" s="55" t="s">
        <v>51</v>
      </c>
      <c r="H29" s="28" t="s">
        <v>209</v>
      </c>
      <c r="I29" s="8"/>
    </row>
    <row r="30" spans="2:9" x14ac:dyDescent="0.2">
      <c r="B30" s="7"/>
      <c r="C30" s="86"/>
      <c r="D30" s="87"/>
      <c r="E30" s="88"/>
      <c r="F30" s="98"/>
      <c r="G30" s="130"/>
      <c r="H30" s="29" t="s">
        <v>210</v>
      </c>
      <c r="I30" s="8"/>
    </row>
    <row r="31" spans="2:9" x14ac:dyDescent="0.2">
      <c r="B31" s="7"/>
      <c r="C31" s="86"/>
      <c r="D31" s="87"/>
      <c r="E31" s="88"/>
      <c r="F31" s="29" t="s">
        <v>169</v>
      </c>
      <c r="G31" s="130"/>
      <c r="H31" s="29" t="s">
        <v>212</v>
      </c>
      <c r="I31" s="8"/>
    </row>
    <row r="32" spans="2:9" x14ac:dyDescent="0.2">
      <c r="B32" s="7"/>
      <c r="C32" s="86"/>
      <c r="D32" s="87"/>
      <c r="E32" s="88"/>
      <c r="F32" s="29" t="s">
        <v>163</v>
      </c>
      <c r="G32" s="130"/>
      <c r="H32" s="29" t="s">
        <v>213</v>
      </c>
      <c r="I32" s="8"/>
    </row>
    <row r="33" spans="2:9" x14ac:dyDescent="0.2">
      <c r="B33" s="7"/>
      <c r="C33" s="86"/>
      <c r="D33" s="87"/>
      <c r="E33" s="88"/>
      <c r="F33" s="29" t="s">
        <v>116</v>
      </c>
      <c r="G33" s="130"/>
      <c r="H33" s="29" t="s">
        <v>214</v>
      </c>
      <c r="I33" s="8"/>
    </row>
    <row r="34" spans="2:9" x14ac:dyDescent="0.2">
      <c r="B34" s="7"/>
      <c r="C34" s="86"/>
      <c r="D34" s="87"/>
      <c r="E34" s="88"/>
      <c r="F34" s="29" t="s">
        <v>164</v>
      </c>
      <c r="G34" s="130"/>
      <c r="H34" s="29" t="s">
        <v>215</v>
      </c>
      <c r="I34" s="8"/>
    </row>
    <row r="35" spans="2:9" x14ac:dyDescent="0.2">
      <c r="B35" s="7"/>
      <c r="C35" s="95"/>
      <c r="D35" s="96"/>
      <c r="E35" s="97"/>
      <c r="F35" s="29" t="s">
        <v>97</v>
      </c>
      <c r="G35" s="130"/>
      <c r="H35" s="37" t="s">
        <v>201</v>
      </c>
      <c r="I35" s="8"/>
    </row>
    <row r="36" spans="2:9" ht="13.5" thickBot="1" x14ac:dyDescent="0.25">
      <c r="B36" s="7"/>
      <c r="C36" s="89"/>
      <c r="D36" s="90"/>
      <c r="E36" s="91"/>
      <c r="F36" s="30" t="s">
        <v>192</v>
      </c>
      <c r="G36" s="56"/>
      <c r="H36" s="30" t="s">
        <v>216</v>
      </c>
      <c r="I36" s="8"/>
    </row>
    <row r="37" spans="2:9" x14ac:dyDescent="0.2">
      <c r="B37" s="7"/>
      <c r="C37" s="72" t="str">
        <f t="shared" si="0"/>
        <v>Tunja - Ventaquemada</v>
      </c>
      <c r="D37" s="73" t="s">
        <v>4</v>
      </c>
      <c r="E37" s="74" t="s">
        <v>37</v>
      </c>
      <c r="F37" s="59" t="s">
        <v>182</v>
      </c>
      <c r="G37" s="130" t="s">
        <v>52</v>
      </c>
      <c r="H37" s="38" t="s">
        <v>209</v>
      </c>
      <c r="I37" s="8"/>
    </row>
    <row r="38" spans="2:9" x14ac:dyDescent="0.2">
      <c r="B38" s="7"/>
      <c r="C38" s="72"/>
      <c r="D38" s="73"/>
      <c r="E38" s="74"/>
      <c r="F38" s="98"/>
      <c r="G38" s="130"/>
      <c r="H38" s="29" t="s">
        <v>210</v>
      </c>
      <c r="I38" s="8"/>
    </row>
    <row r="39" spans="2:9" x14ac:dyDescent="0.2">
      <c r="B39" s="7"/>
      <c r="C39" s="72"/>
      <c r="D39" s="73"/>
      <c r="E39" s="74"/>
      <c r="F39" s="29" t="s">
        <v>169</v>
      </c>
      <c r="G39" s="130"/>
      <c r="H39" s="29" t="s">
        <v>212</v>
      </c>
      <c r="I39" s="8"/>
    </row>
    <row r="40" spans="2:9" ht="25.5" x14ac:dyDescent="0.2">
      <c r="B40" s="7"/>
      <c r="C40" s="72"/>
      <c r="D40" s="73"/>
      <c r="E40" s="74"/>
      <c r="F40" s="29" t="s">
        <v>187</v>
      </c>
      <c r="G40" s="130"/>
      <c r="H40" s="29" t="s">
        <v>221</v>
      </c>
      <c r="I40" s="8"/>
    </row>
    <row r="41" spans="2:9" x14ac:dyDescent="0.2">
      <c r="B41" s="7"/>
      <c r="C41" s="72"/>
      <c r="D41" s="73"/>
      <c r="E41" s="74"/>
      <c r="F41" s="29" t="s">
        <v>116</v>
      </c>
      <c r="G41" s="130"/>
      <c r="H41" s="29" t="s">
        <v>214</v>
      </c>
      <c r="I41" s="8"/>
    </row>
    <row r="42" spans="2:9" x14ac:dyDescent="0.2">
      <c r="B42" s="7"/>
      <c r="C42" s="72"/>
      <c r="D42" s="73"/>
      <c r="E42" s="74"/>
      <c r="F42" s="29" t="s">
        <v>164</v>
      </c>
      <c r="G42" s="130"/>
      <c r="H42" s="29" t="s">
        <v>215</v>
      </c>
      <c r="I42" s="8"/>
    </row>
    <row r="43" spans="2:9" ht="13.5" thickBot="1" x14ac:dyDescent="0.25">
      <c r="B43" s="7"/>
      <c r="C43" s="75"/>
      <c r="D43" s="76"/>
      <c r="E43" s="77"/>
      <c r="F43" s="30" t="s">
        <v>192</v>
      </c>
      <c r="G43" s="56"/>
      <c r="H43" s="30" t="s">
        <v>216</v>
      </c>
      <c r="I43" s="8"/>
    </row>
    <row r="44" spans="2:9" x14ac:dyDescent="0.2">
      <c r="B44" s="7"/>
      <c r="C44" s="69" t="str">
        <f t="shared" si="0"/>
        <v>Tunja - Nuevo Colon</v>
      </c>
      <c r="D44" s="70" t="s">
        <v>4</v>
      </c>
      <c r="E44" s="71" t="s">
        <v>53</v>
      </c>
      <c r="F44" s="40" t="s">
        <v>182</v>
      </c>
      <c r="G44" s="55" t="s">
        <v>54</v>
      </c>
      <c r="H44" s="28" t="s">
        <v>209</v>
      </c>
      <c r="I44" s="8"/>
    </row>
    <row r="45" spans="2:9" ht="25.5" x14ac:dyDescent="0.2">
      <c r="B45" s="7"/>
      <c r="C45" s="72"/>
      <c r="D45" s="73"/>
      <c r="E45" s="74"/>
      <c r="F45" s="29" t="s">
        <v>187</v>
      </c>
      <c r="G45" s="130"/>
      <c r="H45" s="29" t="s">
        <v>221</v>
      </c>
      <c r="I45" s="8"/>
    </row>
    <row r="46" spans="2:9" x14ac:dyDescent="0.2">
      <c r="B46" s="7"/>
      <c r="C46" s="72"/>
      <c r="D46" s="73"/>
      <c r="E46" s="74"/>
      <c r="F46" s="29" t="s">
        <v>116</v>
      </c>
      <c r="G46" s="130"/>
      <c r="H46" s="29" t="s">
        <v>214</v>
      </c>
      <c r="I46" s="8"/>
    </row>
    <row r="47" spans="2:9" x14ac:dyDescent="0.2">
      <c r="B47" s="7"/>
      <c r="C47" s="72"/>
      <c r="D47" s="73"/>
      <c r="E47" s="74"/>
      <c r="F47" s="29" t="s">
        <v>164</v>
      </c>
      <c r="G47" s="130"/>
      <c r="H47" s="29" t="s">
        <v>215</v>
      </c>
      <c r="I47" s="8"/>
    </row>
    <row r="48" spans="2:9" x14ac:dyDescent="0.2">
      <c r="B48" s="7"/>
      <c r="C48" s="72"/>
      <c r="D48" s="73"/>
      <c r="E48" s="74"/>
      <c r="F48" s="29" t="s">
        <v>97</v>
      </c>
      <c r="G48" s="130"/>
      <c r="H48" s="37" t="s">
        <v>201</v>
      </c>
      <c r="I48" s="8"/>
    </row>
    <row r="49" spans="2:9" ht="13.5" thickBot="1" x14ac:dyDescent="0.25">
      <c r="B49" s="7"/>
      <c r="C49" s="75"/>
      <c r="D49" s="76"/>
      <c r="E49" s="77"/>
      <c r="F49" s="30" t="s">
        <v>192</v>
      </c>
      <c r="G49" s="56"/>
      <c r="H49" s="30" t="s">
        <v>216</v>
      </c>
      <c r="I49" s="8"/>
    </row>
    <row r="50" spans="2:9" x14ac:dyDescent="0.2">
      <c r="B50" s="7"/>
      <c r="C50" s="69" t="str">
        <f t="shared" si="0"/>
        <v>Tunja - Motavita</v>
      </c>
      <c r="D50" s="70" t="s">
        <v>4</v>
      </c>
      <c r="E50" s="71" t="s">
        <v>55</v>
      </c>
      <c r="F50" s="40" t="s">
        <v>182</v>
      </c>
      <c r="G50" s="55" t="s">
        <v>56</v>
      </c>
      <c r="H50" s="28" t="s">
        <v>209</v>
      </c>
      <c r="I50" s="8"/>
    </row>
    <row r="51" spans="2:9" x14ac:dyDescent="0.2">
      <c r="B51" s="7"/>
      <c r="C51" s="72"/>
      <c r="D51" s="73"/>
      <c r="E51" s="74"/>
      <c r="F51" s="29" t="s">
        <v>179</v>
      </c>
      <c r="G51" s="130"/>
      <c r="H51" s="29" t="s">
        <v>211</v>
      </c>
      <c r="I51" s="8"/>
    </row>
    <row r="52" spans="2:9" x14ac:dyDescent="0.2">
      <c r="B52" s="7"/>
      <c r="C52" s="72"/>
      <c r="D52" s="73"/>
      <c r="E52" s="74"/>
      <c r="F52" s="29" t="s">
        <v>190</v>
      </c>
      <c r="G52" s="130"/>
      <c r="H52" s="35" t="s">
        <v>208</v>
      </c>
      <c r="I52" s="8"/>
    </row>
    <row r="53" spans="2:9" x14ac:dyDescent="0.2">
      <c r="B53" s="7"/>
      <c r="C53" s="72"/>
      <c r="D53" s="73"/>
      <c r="E53" s="74"/>
      <c r="F53" s="29" t="s">
        <v>164</v>
      </c>
      <c r="G53" s="130"/>
      <c r="H53" s="29" t="s">
        <v>215</v>
      </c>
      <c r="I53" s="8"/>
    </row>
    <row r="54" spans="2:9" x14ac:dyDescent="0.2">
      <c r="B54" s="7"/>
      <c r="C54" s="72"/>
      <c r="D54" s="73"/>
      <c r="E54" s="74"/>
      <c r="F54" s="37" t="s">
        <v>97</v>
      </c>
      <c r="G54" s="130"/>
      <c r="H54" s="37" t="s">
        <v>201</v>
      </c>
      <c r="I54" s="8"/>
    </row>
    <row r="55" spans="2:9" ht="13.5" thickBot="1" x14ac:dyDescent="0.25">
      <c r="B55" s="7"/>
      <c r="C55" s="75"/>
      <c r="D55" s="76"/>
      <c r="E55" s="77"/>
      <c r="F55" s="30" t="s">
        <v>192</v>
      </c>
      <c r="G55" s="56"/>
      <c r="H55" s="30" t="s">
        <v>216</v>
      </c>
      <c r="I55" s="8"/>
    </row>
    <row r="56" spans="2:9" ht="36.75" customHeight="1" x14ac:dyDescent="0.2">
      <c r="B56" s="7"/>
      <c r="C56" s="69" t="str">
        <f t="shared" si="0"/>
        <v>Tunja - Moniquira</v>
      </c>
      <c r="D56" s="70" t="s">
        <v>4</v>
      </c>
      <c r="E56" s="71" t="s">
        <v>27</v>
      </c>
      <c r="F56" s="40" t="s">
        <v>182</v>
      </c>
      <c r="G56" s="55" t="s">
        <v>2</v>
      </c>
      <c r="H56" s="28" t="s">
        <v>209</v>
      </c>
      <c r="I56" s="8"/>
    </row>
    <row r="57" spans="2:9" x14ac:dyDescent="0.2">
      <c r="B57" s="7"/>
      <c r="C57" s="72"/>
      <c r="D57" s="73"/>
      <c r="E57" s="74"/>
      <c r="F57" s="29" t="s">
        <v>179</v>
      </c>
      <c r="G57" s="130"/>
      <c r="H57" s="29" t="s">
        <v>211</v>
      </c>
      <c r="I57" s="8"/>
    </row>
    <row r="58" spans="2:9" x14ac:dyDescent="0.2">
      <c r="B58" s="7"/>
      <c r="C58" s="72"/>
      <c r="D58" s="73"/>
      <c r="E58" s="74"/>
      <c r="F58" s="29" t="s">
        <v>164</v>
      </c>
      <c r="G58" s="130"/>
      <c r="H58" s="29" t="s">
        <v>215</v>
      </c>
      <c r="I58" s="8"/>
    </row>
    <row r="59" spans="2:9" ht="13.5" thickBot="1" x14ac:dyDescent="0.25">
      <c r="B59" s="7"/>
      <c r="C59" s="75"/>
      <c r="D59" s="76"/>
      <c r="E59" s="77"/>
      <c r="F59" s="30" t="s">
        <v>192</v>
      </c>
      <c r="G59" s="56"/>
      <c r="H59" s="30" t="s">
        <v>216</v>
      </c>
      <c r="I59" s="8"/>
    </row>
    <row r="60" spans="2:9" x14ac:dyDescent="0.2">
      <c r="B60" s="7"/>
      <c r="C60" s="69" t="str">
        <f t="shared" si="0"/>
        <v>Tunja - Siachoque</v>
      </c>
      <c r="D60" s="70" t="s">
        <v>4</v>
      </c>
      <c r="E60" s="71" t="s">
        <v>57</v>
      </c>
      <c r="F60" s="40" t="s">
        <v>182</v>
      </c>
      <c r="G60" s="55" t="s">
        <v>58</v>
      </c>
      <c r="H60" s="28" t="s">
        <v>209</v>
      </c>
      <c r="I60" s="8"/>
    </row>
    <row r="61" spans="2:9" x14ac:dyDescent="0.2">
      <c r="B61" s="7"/>
      <c r="C61" s="72"/>
      <c r="D61" s="73"/>
      <c r="E61" s="74"/>
      <c r="F61" s="29" t="s">
        <v>179</v>
      </c>
      <c r="G61" s="130"/>
      <c r="H61" s="29" t="s">
        <v>211</v>
      </c>
      <c r="I61" s="8"/>
    </row>
    <row r="62" spans="2:9" x14ac:dyDescent="0.2">
      <c r="B62" s="7"/>
      <c r="C62" s="72"/>
      <c r="D62" s="73"/>
      <c r="E62" s="74"/>
      <c r="F62" s="29" t="s">
        <v>164</v>
      </c>
      <c r="G62" s="130"/>
      <c r="H62" s="29" t="s">
        <v>215</v>
      </c>
      <c r="I62" s="8"/>
    </row>
    <row r="63" spans="2:9" x14ac:dyDescent="0.2">
      <c r="B63" s="7"/>
      <c r="C63" s="72"/>
      <c r="D63" s="73"/>
      <c r="E63" s="74"/>
      <c r="F63" s="29" t="s">
        <v>97</v>
      </c>
      <c r="G63" s="130"/>
      <c r="H63" s="37" t="s">
        <v>201</v>
      </c>
      <c r="I63" s="8"/>
    </row>
    <row r="64" spans="2:9" ht="13.5" thickBot="1" x14ac:dyDescent="0.25">
      <c r="B64" s="7"/>
      <c r="C64" s="75"/>
      <c r="D64" s="76"/>
      <c r="E64" s="77"/>
      <c r="F64" s="30" t="s">
        <v>192</v>
      </c>
      <c r="G64" s="56"/>
      <c r="H64" s="30" t="s">
        <v>216</v>
      </c>
      <c r="I64" s="8"/>
    </row>
    <row r="65" spans="2:9" ht="25.5" customHeight="1" x14ac:dyDescent="0.2">
      <c r="B65" s="7"/>
      <c r="C65" s="69" t="str">
        <f t="shared" si="0"/>
        <v>Tunja - Cienega</v>
      </c>
      <c r="D65" s="70" t="s">
        <v>4</v>
      </c>
      <c r="E65" s="71" t="s">
        <v>59</v>
      </c>
      <c r="F65" s="40" t="s">
        <v>182</v>
      </c>
      <c r="G65" s="55" t="s">
        <v>60</v>
      </c>
      <c r="H65" s="28" t="s">
        <v>209</v>
      </c>
      <c r="I65" s="8"/>
    </row>
    <row r="66" spans="2:9" x14ac:dyDescent="0.2">
      <c r="B66" s="7"/>
      <c r="C66" s="72"/>
      <c r="D66" s="73"/>
      <c r="E66" s="74"/>
      <c r="F66" s="29" t="s">
        <v>164</v>
      </c>
      <c r="G66" s="130"/>
      <c r="H66" s="29" t="s">
        <v>215</v>
      </c>
      <c r="I66" s="8"/>
    </row>
    <row r="67" spans="2:9" ht="25.5" customHeight="1" thickBot="1" x14ac:dyDescent="0.25">
      <c r="B67" s="7"/>
      <c r="C67" s="75"/>
      <c r="D67" s="76"/>
      <c r="E67" s="77"/>
      <c r="F67" s="30" t="s">
        <v>192</v>
      </c>
      <c r="G67" s="56"/>
      <c r="H67" s="30" t="s">
        <v>216</v>
      </c>
      <c r="I67" s="8"/>
    </row>
    <row r="68" spans="2:9" x14ac:dyDescent="0.2">
      <c r="B68" s="7"/>
      <c r="C68" s="69" t="str">
        <f t="shared" si="0"/>
        <v>Tunja - Ramiriqui</v>
      </c>
      <c r="D68" s="70" t="s">
        <v>4</v>
      </c>
      <c r="E68" s="71" t="s">
        <v>31</v>
      </c>
      <c r="F68" s="78" t="s">
        <v>182</v>
      </c>
      <c r="G68" s="55" t="s">
        <v>58</v>
      </c>
      <c r="H68" s="28" t="s">
        <v>209</v>
      </c>
      <c r="I68" s="8"/>
    </row>
    <row r="69" spans="2:9" x14ac:dyDescent="0.2">
      <c r="B69" s="7"/>
      <c r="C69" s="72"/>
      <c r="D69" s="73"/>
      <c r="E69" s="74"/>
      <c r="F69" s="79"/>
      <c r="G69" s="130"/>
      <c r="H69" s="29" t="s">
        <v>210</v>
      </c>
      <c r="I69" s="8"/>
    </row>
    <row r="70" spans="2:9" x14ac:dyDescent="0.2">
      <c r="B70" s="7"/>
      <c r="C70" s="72"/>
      <c r="D70" s="73"/>
      <c r="E70" s="74"/>
      <c r="F70" s="29" t="s">
        <v>97</v>
      </c>
      <c r="G70" s="130"/>
      <c r="H70" s="29" t="s">
        <v>201</v>
      </c>
      <c r="I70" s="8"/>
    </row>
    <row r="71" spans="2:9" x14ac:dyDescent="0.2">
      <c r="B71" s="7"/>
      <c r="C71" s="72"/>
      <c r="D71" s="73"/>
      <c r="E71" s="74"/>
      <c r="F71" s="29" t="s">
        <v>169</v>
      </c>
      <c r="G71" s="130"/>
      <c r="H71" s="29" t="s">
        <v>212</v>
      </c>
      <c r="I71" s="8"/>
    </row>
    <row r="72" spans="2:9" x14ac:dyDescent="0.2">
      <c r="B72" s="7"/>
      <c r="C72" s="72"/>
      <c r="D72" s="73"/>
      <c r="E72" s="74"/>
      <c r="F72" s="29" t="s">
        <v>116</v>
      </c>
      <c r="G72" s="130"/>
      <c r="H72" s="29" t="s">
        <v>214</v>
      </c>
      <c r="I72" s="8"/>
    </row>
    <row r="73" spans="2:9" x14ac:dyDescent="0.2">
      <c r="B73" s="7"/>
      <c r="C73" s="72"/>
      <c r="D73" s="73"/>
      <c r="E73" s="74"/>
      <c r="F73" s="29" t="s">
        <v>164</v>
      </c>
      <c r="G73" s="130"/>
      <c r="H73" s="29" t="s">
        <v>215</v>
      </c>
      <c r="I73" s="8"/>
    </row>
    <row r="74" spans="2:9" ht="25.5" x14ac:dyDescent="0.2">
      <c r="B74" s="7"/>
      <c r="C74" s="72"/>
      <c r="D74" s="73"/>
      <c r="E74" s="74"/>
      <c r="F74" s="29" t="s">
        <v>187</v>
      </c>
      <c r="G74" s="130"/>
      <c r="H74" s="34" t="s">
        <v>221</v>
      </c>
      <c r="I74" s="8"/>
    </row>
    <row r="75" spans="2:9" ht="13.5" thickBot="1" x14ac:dyDescent="0.25">
      <c r="B75" s="7"/>
      <c r="C75" s="75"/>
      <c r="D75" s="76"/>
      <c r="E75" s="77"/>
      <c r="F75" s="30" t="s">
        <v>192</v>
      </c>
      <c r="G75" s="56"/>
      <c r="H75" s="30" t="s">
        <v>216</v>
      </c>
      <c r="I75" s="8"/>
    </row>
    <row r="76" spans="2:9" x14ac:dyDescent="0.2">
      <c r="B76" s="7"/>
      <c r="C76" s="69" t="str">
        <f t="shared" si="0"/>
        <v>Tunja - Turmeque</v>
      </c>
      <c r="D76" s="70" t="s">
        <v>4</v>
      </c>
      <c r="E76" s="71" t="s">
        <v>61</v>
      </c>
      <c r="F76" s="28" t="s">
        <v>182</v>
      </c>
      <c r="G76" s="55" t="s">
        <v>37</v>
      </c>
      <c r="H76" s="28" t="s">
        <v>210</v>
      </c>
      <c r="I76" s="8"/>
    </row>
    <row r="77" spans="2:9" x14ac:dyDescent="0.2">
      <c r="B77" s="7"/>
      <c r="C77" s="72"/>
      <c r="D77" s="73"/>
      <c r="E77" s="74"/>
      <c r="F77" s="29" t="s">
        <v>169</v>
      </c>
      <c r="G77" s="130"/>
      <c r="H77" s="29" t="s">
        <v>212</v>
      </c>
      <c r="I77" s="8"/>
    </row>
    <row r="78" spans="2:9" x14ac:dyDescent="0.2">
      <c r="B78" s="7"/>
      <c r="C78" s="72"/>
      <c r="D78" s="73"/>
      <c r="E78" s="74"/>
      <c r="F78" s="29" t="s">
        <v>116</v>
      </c>
      <c r="G78" s="130"/>
      <c r="H78" s="29" t="s">
        <v>214</v>
      </c>
      <c r="I78" s="8"/>
    </row>
    <row r="79" spans="2:9" ht="25.5" x14ac:dyDescent="0.2">
      <c r="B79" s="7"/>
      <c r="C79" s="72"/>
      <c r="D79" s="73"/>
      <c r="E79" s="74"/>
      <c r="F79" s="29" t="s">
        <v>187</v>
      </c>
      <c r="G79" s="130"/>
      <c r="H79" s="34" t="s">
        <v>221</v>
      </c>
      <c r="I79" s="8"/>
    </row>
    <row r="80" spans="2:9" ht="13.5" thickBot="1" x14ac:dyDescent="0.25">
      <c r="B80" s="7"/>
      <c r="C80" s="75"/>
      <c r="D80" s="76"/>
      <c r="E80" s="77"/>
      <c r="F80" s="30" t="s">
        <v>192</v>
      </c>
      <c r="G80" s="56"/>
      <c r="H80" s="30" t="s">
        <v>216</v>
      </c>
      <c r="I80" s="8"/>
    </row>
    <row r="81" spans="2:9" ht="25.5" customHeight="1" thickBot="1" x14ac:dyDescent="0.25">
      <c r="B81" s="7"/>
      <c r="C81" s="99" t="str">
        <f t="shared" si="0"/>
        <v>Tunja - Turmeque</v>
      </c>
      <c r="D81" s="100" t="s">
        <v>4</v>
      </c>
      <c r="E81" s="101" t="s">
        <v>61</v>
      </c>
      <c r="F81" s="29" t="s">
        <v>187</v>
      </c>
      <c r="G81" s="57" t="s">
        <v>53</v>
      </c>
      <c r="H81" s="39" t="s">
        <v>221</v>
      </c>
      <c r="I81" s="8"/>
    </row>
    <row r="82" spans="2:9" x14ac:dyDescent="0.2">
      <c r="B82" s="7"/>
      <c r="C82" s="69" t="str">
        <f t="shared" si="0"/>
        <v>Tunja - Tibana</v>
      </c>
      <c r="D82" s="70" t="s">
        <v>4</v>
      </c>
      <c r="E82" s="71" t="s">
        <v>48</v>
      </c>
      <c r="F82" s="28" t="s">
        <v>182</v>
      </c>
      <c r="G82" s="55" t="s">
        <v>62</v>
      </c>
      <c r="H82" s="28" t="s">
        <v>210</v>
      </c>
      <c r="I82" s="8"/>
    </row>
    <row r="83" spans="2:9" x14ac:dyDescent="0.2">
      <c r="B83" s="7"/>
      <c r="C83" s="72"/>
      <c r="D83" s="73"/>
      <c r="E83" s="74"/>
      <c r="F83" s="29" t="s">
        <v>169</v>
      </c>
      <c r="G83" s="130"/>
      <c r="H83" s="29" t="s">
        <v>212</v>
      </c>
      <c r="I83" s="8"/>
    </row>
    <row r="84" spans="2:9" x14ac:dyDescent="0.2">
      <c r="B84" s="7"/>
      <c r="C84" s="72"/>
      <c r="D84" s="73"/>
      <c r="E84" s="74"/>
      <c r="F84" s="29" t="s">
        <v>116</v>
      </c>
      <c r="G84" s="130"/>
      <c r="H84" s="29" t="s">
        <v>214</v>
      </c>
      <c r="I84" s="8"/>
    </row>
    <row r="85" spans="2:9" ht="25.5" x14ac:dyDescent="0.2">
      <c r="B85" s="7"/>
      <c r="C85" s="72"/>
      <c r="D85" s="73"/>
      <c r="E85" s="74"/>
      <c r="F85" s="29" t="s">
        <v>187</v>
      </c>
      <c r="G85" s="130"/>
      <c r="H85" s="34" t="s">
        <v>221</v>
      </c>
      <c r="I85" s="8"/>
    </row>
    <row r="86" spans="2:9" ht="13.5" thickBot="1" x14ac:dyDescent="0.25">
      <c r="B86" s="7"/>
      <c r="C86" s="75"/>
      <c r="D86" s="76"/>
      <c r="E86" s="77"/>
      <c r="F86" s="30" t="s">
        <v>192</v>
      </c>
      <c r="G86" s="56"/>
      <c r="H86" s="30" t="s">
        <v>216</v>
      </c>
      <c r="I86" s="8"/>
    </row>
    <row r="87" spans="2:9" x14ac:dyDescent="0.2">
      <c r="B87" s="7"/>
      <c r="C87" s="69" t="str">
        <f t="shared" si="0"/>
        <v>Tunja - Sotaquira</v>
      </c>
      <c r="D87" s="70" t="s">
        <v>4</v>
      </c>
      <c r="E87" s="71" t="s">
        <v>41</v>
      </c>
      <c r="F87" s="28" t="s">
        <v>182</v>
      </c>
      <c r="G87" s="58" t="s">
        <v>3</v>
      </c>
      <c r="H87" s="28" t="s">
        <v>210</v>
      </c>
      <c r="I87" s="8"/>
    </row>
    <row r="88" spans="2:9" x14ac:dyDescent="0.2">
      <c r="B88" s="7"/>
      <c r="C88" s="72"/>
      <c r="D88" s="73"/>
      <c r="E88" s="74"/>
      <c r="F88" s="29" t="s">
        <v>179</v>
      </c>
      <c r="G88" s="59"/>
      <c r="H88" s="29" t="s">
        <v>211</v>
      </c>
      <c r="I88" s="8"/>
    </row>
    <row r="89" spans="2:9" x14ac:dyDescent="0.2">
      <c r="B89" s="7"/>
      <c r="C89" s="72"/>
      <c r="D89" s="73"/>
      <c r="E89" s="74"/>
      <c r="F89" s="29" t="s">
        <v>169</v>
      </c>
      <c r="G89" s="59"/>
      <c r="H89" s="29" t="s">
        <v>212</v>
      </c>
      <c r="I89" s="8"/>
    </row>
    <row r="90" spans="2:9" x14ac:dyDescent="0.2">
      <c r="B90" s="7"/>
      <c r="C90" s="72"/>
      <c r="D90" s="73"/>
      <c r="E90" s="74"/>
      <c r="F90" s="29" t="s">
        <v>163</v>
      </c>
      <c r="G90" s="59"/>
      <c r="H90" s="29" t="s">
        <v>213</v>
      </c>
      <c r="I90" s="8"/>
    </row>
    <row r="91" spans="2:9" x14ac:dyDescent="0.2">
      <c r="B91" s="7"/>
      <c r="C91" s="72"/>
      <c r="D91" s="73"/>
      <c r="E91" s="74"/>
      <c r="F91" s="29" t="s">
        <v>116</v>
      </c>
      <c r="G91" s="59"/>
      <c r="H91" s="29" t="s">
        <v>214</v>
      </c>
      <c r="I91" s="8"/>
    </row>
    <row r="92" spans="2:9" x14ac:dyDescent="0.2">
      <c r="B92" s="7"/>
      <c r="C92" s="72"/>
      <c r="D92" s="73"/>
      <c r="E92" s="74"/>
      <c r="F92" s="29" t="s">
        <v>190</v>
      </c>
      <c r="G92" s="59"/>
      <c r="H92" s="35" t="s">
        <v>208</v>
      </c>
      <c r="I92" s="8"/>
    </row>
    <row r="93" spans="2:9" ht="13.5" thickBot="1" x14ac:dyDescent="0.25">
      <c r="B93" s="7"/>
      <c r="C93" s="75"/>
      <c r="D93" s="76"/>
      <c r="E93" s="77"/>
      <c r="F93" s="30" t="s">
        <v>192</v>
      </c>
      <c r="G93" s="60"/>
      <c r="H93" s="30" t="s">
        <v>216</v>
      </c>
      <c r="I93" s="8"/>
    </row>
    <row r="94" spans="2:9" ht="25.5" x14ac:dyDescent="0.2">
      <c r="B94" s="7"/>
      <c r="C94" s="69" t="str">
        <f t="shared" si="0"/>
        <v>Tunja - Villa de Leyva</v>
      </c>
      <c r="D94" s="70" t="s">
        <v>4</v>
      </c>
      <c r="E94" s="71" t="s">
        <v>159</v>
      </c>
      <c r="F94" s="28" t="s">
        <v>182</v>
      </c>
      <c r="G94" s="61" t="s">
        <v>3</v>
      </c>
      <c r="H94" s="28" t="s">
        <v>203</v>
      </c>
      <c r="I94" s="8"/>
    </row>
    <row r="95" spans="2:9" x14ac:dyDescent="0.2">
      <c r="B95" s="7"/>
      <c r="C95" s="72"/>
      <c r="D95" s="73"/>
      <c r="E95" s="74"/>
      <c r="F95" s="29" t="s">
        <v>183</v>
      </c>
      <c r="G95" s="62"/>
      <c r="H95" s="29" t="s">
        <v>227</v>
      </c>
      <c r="I95" s="8"/>
    </row>
    <row r="96" spans="2:9" x14ac:dyDescent="0.2">
      <c r="B96" s="7"/>
      <c r="C96" s="72"/>
      <c r="D96" s="73"/>
      <c r="E96" s="74"/>
      <c r="F96" s="29" t="s">
        <v>112</v>
      </c>
      <c r="G96" s="62"/>
      <c r="H96" s="27" t="s">
        <v>239</v>
      </c>
      <c r="I96" s="8"/>
    </row>
    <row r="97" spans="2:9" x14ac:dyDescent="0.2">
      <c r="B97" s="7"/>
      <c r="C97" s="72"/>
      <c r="D97" s="73"/>
      <c r="E97" s="74"/>
      <c r="F97" s="29" t="s">
        <v>164</v>
      </c>
      <c r="G97" s="62"/>
      <c r="H97" s="29" t="s">
        <v>215</v>
      </c>
      <c r="I97" s="8"/>
    </row>
    <row r="98" spans="2:9" ht="13.5" thickBot="1" x14ac:dyDescent="0.25">
      <c r="B98" s="7"/>
      <c r="C98" s="75"/>
      <c r="D98" s="76"/>
      <c r="E98" s="77"/>
      <c r="F98" s="30" t="s">
        <v>192</v>
      </c>
      <c r="G98" s="63"/>
      <c r="H98" s="33"/>
      <c r="I98" s="8"/>
    </row>
    <row r="99" spans="2:9" ht="25.5" x14ac:dyDescent="0.2">
      <c r="B99" s="7"/>
      <c r="C99" s="69" t="str">
        <f t="shared" si="0"/>
        <v>Tunja - Samaca</v>
      </c>
      <c r="D99" s="70" t="s">
        <v>4</v>
      </c>
      <c r="E99" s="71" t="s">
        <v>17</v>
      </c>
      <c r="F99" s="28" t="s">
        <v>182</v>
      </c>
      <c r="G99" s="61" t="s">
        <v>101</v>
      </c>
      <c r="H99" s="28" t="s">
        <v>203</v>
      </c>
      <c r="I99" s="8"/>
    </row>
    <row r="100" spans="2:9" x14ac:dyDescent="0.2">
      <c r="B100" s="7"/>
      <c r="C100" s="72"/>
      <c r="D100" s="73"/>
      <c r="E100" s="74"/>
      <c r="F100" s="29" t="s">
        <v>185</v>
      </c>
      <c r="G100" s="62"/>
      <c r="H100" s="32" t="s">
        <v>228</v>
      </c>
      <c r="I100" s="8"/>
    </row>
    <row r="101" spans="2:9" x14ac:dyDescent="0.2">
      <c r="B101" s="7"/>
      <c r="C101" s="72"/>
      <c r="D101" s="73"/>
      <c r="E101" s="74"/>
      <c r="F101" s="29" t="s">
        <v>164</v>
      </c>
      <c r="G101" s="62"/>
      <c r="H101" s="29" t="s">
        <v>215</v>
      </c>
      <c r="I101" s="8"/>
    </row>
    <row r="102" spans="2:9" x14ac:dyDescent="0.2">
      <c r="B102" s="7"/>
      <c r="C102" s="72"/>
      <c r="D102" s="73"/>
      <c r="E102" s="74"/>
      <c r="F102" s="29" t="s">
        <v>191</v>
      </c>
      <c r="G102" s="62"/>
      <c r="H102" s="32"/>
      <c r="I102" s="8"/>
    </row>
    <row r="103" spans="2:9" ht="13.5" thickBot="1" x14ac:dyDescent="0.25">
      <c r="B103" s="7"/>
      <c r="C103" s="75"/>
      <c r="D103" s="76"/>
      <c r="E103" s="77"/>
      <c r="F103" s="30" t="s">
        <v>192</v>
      </c>
      <c r="G103" s="63"/>
      <c r="H103" s="33"/>
      <c r="I103" s="8"/>
    </row>
    <row r="104" spans="2:9" ht="25.5" x14ac:dyDescent="0.2">
      <c r="B104" s="7"/>
      <c r="C104" s="69" t="str">
        <f t="shared" si="0"/>
        <v>Tunja - Santana</v>
      </c>
      <c r="D104" s="70" t="s">
        <v>4</v>
      </c>
      <c r="E104" s="71" t="s">
        <v>92</v>
      </c>
      <c r="F104" s="28" t="s">
        <v>182</v>
      </c>
      <c r="G104" s="61" t="s">
        <v>138</v>
      </c>
      <c r="H104" s="28" t="s">
        <v>203</v>
      </c>
      <c r="I104" s="8"/>
    </row>
    <row r="105" spans="2:9" ht="13.5" thickBot="1" x14ac:dyDescent="0.25">
      <c r="B105" s="7"/>
      <c r="C105" s="75"/>
      <c r="D105" s="76"/>
      <c r="E105" s="77"/>
      <c r="F105" s="30" t="s">
        <v>190</v>
      </c>
      <c r="G105" s="63"/>
      <c r="H105" s="33"/>
      <c r="I105" s="8"/>
    </row>
    <row r="106" spans="2:9" ht="25.5" x14ac:dyDescent="0.2">
      <c r="B106" s="7"/>
      <c r="C106" s="69" t="str">
        <f t="shared" si="0"/>
        <v>Tunja - Barbosa</v>
      </c>
      <c r="D106" s="70" t="s">
        <v>4</v>
      </c>
      <c r="E106" s="71" t="s">
        <v>6</v>
      </c>
      <c r="F106" s="28" t="s">
        <v>182</v>
      </c>
      <c r="G106" s="61" t="s">
        <v>3</v>
      </c>
      <c r="H106" s="28" t="s">
        <v>203</v>
      </c>
      <c r="I106" s="8"/>
    </row>
    <row r="107" spans="2:9" ht="13.5" thickBot="1" x14ac:dyDescent="0.25">
      <c r="B107" s="7"/>
      <c r="C107" s="75"/>
      <c r="D107" s="76"/>
      <c r="E107" s="77"/>
      <c r="F107" s="30" t="s">
        <v>176</v>
      </c>
      <c r="G107" s="63"/>
      <c r="H107" s="33"/>
      <c r="I107" s="8"/>
    </row>
    <row r="108" spans="2:9" ht="26.25" thickBot="1" x14ac:dyDescent="0.25">
      <c r="B108" s="7"/>
      <c r="C108" s="99" t="str">
        <f t="shared" si="0"/>
        <v>Tunja - Paz de Ariporo</v>
      </c>
      <c r="D108" s="100" t="s">
        <v>4</v>
      </c>
      <c r="E108" s="101" t="s">
        <v>19</v>
      </c>
      <c r="F108" s="42" t="s">
        <v>182</v>
      </c>
      <c r="G108" s="64" t="s">
        <v>3</v>
      </c>
      <c r="H108" s="42" t="s">
        <v>203</v>
      </c>
      <c r="I108" s="8"/>
    </row>
    <row r="109" spans="2:9" ht="13.5" thickBot="1" x14ac:dyDescent="0.25">
      <c r="B109" s="9"/>
      <c r="C109" s="68"/>
      <c r="D109" s="131"/>
      <c r="E109" s="131"/>
      <c r="F109" s="66"/>
      <c r="G109" s="68"/>
      <c r="H109" s="66"/>
      <c r="I109" s="11"/>
    </row>
    <row r="110" spans="2:9" ht="13.5" thickBot="1" x14ac:dyDescent="0.25">
      <c r="B110" s="3"/>
      <c r="C110" s="67"/>
      <c r="D110" s="132"/>
      <c r="E110" s="132"/>
      <c r="F110" s="65"/>
      <c r="G110" s="67"/>
      <c r="H110" s="65"/>
      <c r="I110" s="6"/>
    </row>
    <row r="111" spans="2:9" ht="13.5" thickBot="1" x14ac:dyDescent="0.25">
      <c r="B111" s="7"/>
      <c r="C111" s="125" t="s">
        <v>45</v>
      </c>
      <c r="D111" s="126" t="s">
        <v>0</v>
      </c>
      <c r="E111" s="126" t="s">
        <v>1</v>
      </c>
      <c r="F111" s="127" t="s">
        <v>220</v>
      </c>
      <c r="G111" s="127" t="s">
        <v>49</v>
      </c>
      <c r="H111" s="128" t="s">
        <v>205</v>
      </c>
      <c r="I111" s="8"/>
    </row>
    <row r="112" spans="2:9" x14ac:dyDescent="0.2">
      <c r="B112" s="7"/>
      <c r="C112" s="69" t="str">
        <f t="shared" si="0"/>
        <v>Tunja - Arcabuco</v>
      </c>
      <c r="D112" s="70" t="s">
        <v>4</v>
      </c>
      <c r="E112" s="71" t="s">
        <v>2</v>
      </c>
      <c r="F112" s="28" t="s">
        <v>162</v>
      </c>
      <c r="G112" s="61" t="s">
        <v>3</v>
      </c>
      <c r="H112" s="28" t="s">
        <v>217</v>
      </c>
      <c r="I112" s="8"/>
    </row>
    <row r="113" spans="2:9" ht="13.5" thickBot="1" x14ac:dyDescent="0.25">
      <c r="B113" s="7"/>
      <c r="C113" s="75"/>
      <c r="D113" s="76"/>
      <c r="E113" s="77"/>
      <c r="F113" s="30" t="s">
        <v>179</v>
      </c>
      <c r="G113" s="63"/>
      <c r="H113" s="41" t="s">
        <v>211</v>
      </c>
      <c r="I113" s="8"/>
    </row>
    <row r="114" spans="2:9" ht="37.5" customHeight="1" thickBot="1" x14ac:dyDescent="0.25">
      <c r="B114" s="7"/>
      <c r="C114" s="99" t="str">
        <f t="shared" si="0"/>
        <v>Tunja - Raquira</v>
      </c>
      <c r="D114" s="100" t="s">
        <v>4</v>
      </c>
      <c r="E114" s="101" t="s">
        <v>39</v>
      </c>
      <c r="F114" s="42" t="s">
        <v>183</v>
      </c>
      <c r="G114" s="64" t="s">
        <v>3</v>
      </c>
      <c r="H114" s="39" t="s">
        <v>227</v>
      </c>
      <c r="I114" s="8"/>
    </row>
    <row r="115" spans="2:9" x14ac:dyDescent="0.2">
      <c r="B115" s="7"/>
      <c r="C115" s="69" t="str">
        <f t="shared" si="0"/>
        <v>Tunja - Oicata</v>
      </c>
      <c r="D115" s="70" t="s">
        <v>4</v>
      </c>
      <c r="E115" s="71" t="s">
        <v>40</v>
      </c>
      <c r="F115" s="28" t="s">
        <v>97</v>
      </c>
      <c r="G115" s="61" t="s">
        <v>3</v>
      </c>
      <c r="H115" s="28" t="s">
        <v>201</v>
      </c>
      <c r="I115" s="8"/>
    </row>
    <row r="116" spans="2:9" ht="13.5" thickBot="1" x14ac:dyDescent="0.25">
      <c r="B116" s="7"/>
      <c r="C116" s="75"/>
      <c r="D116" s="76"/>
      <c r="E116" s="77"/>
      <c r="F116" s="30" t="s">
        <v>163</v>
      </c>
      <c r="G116" s="63"/>
      <c r="H116" s="33" t="s">
        <v>213</v>
      </c>
      <c r="I116" s="8"/>
    </row>
    <row r="117" spans="2:9" x14ac:dyDescent="0.2">
      <c r="B117" s="7"/>
      <c r="C117" s="69" t="str">
        <f t="shared" si="0"/>
        <v>Tunja - San Pedro de Iguaque</v>
      </c>
      <c r="D117" s="70" t="s">
        <v>4</v>
      </c>
      <c r="E117" s="105" t="s">
        <v>98</v>
      </c>
      <c r="F117" s="28" t="s">
        <v>97</v>
      </c>
      <c r="G117" s="25" t="s">
        <v>99</v>
      </c>
      <c r="H117" s="28" t="s">
        <v>201</v>
      </c>
      <c r="I117" s="8"/>
    </row>
    <row r="118" spans="2:9" ht="37.5" customHeight="1" thickBot="1" x14ac:dyDescent="0.25">
      <c r="B118" s="7"/>
      <c r="C118" s="75"/>
      <c r="D118" s="76"/>
      <c r="E118" s="106"/>
      <c r="F118" s="30" t="s">
        <v>187</v>
      </c>
      <c r="G118" s="26" t="s">
        <v>222</v>
      </c>
      <c r="H118" s="33" t="s">
        <v>221</v>
      </c>
      <c r="I118" s="8"/>
    </row>
    <row r="119" spans="2:9" ht="13.5" thickBot="1" x14ac:dyDescent="0.25">
      <c r="B119" s="7"/>
      <c r="C119" s="80" t="str">
        <f t="shared" si="0"/>
        <v>Tunja - Sote</v>
      </c>
      <c r="D119" s="81" t="s">
        <v>4</v>
      </c>
      <c r="E119" s="107" t="s">
        <v>100</v>
      </c>
      <c r="F119" s="43" t="s">
        <v>97</v>
      </c>
      <c r="G119" s="124" t="s">
        <v>55</v>
      </c>
      <c r="H119" s="34" t="s">
        <v>201</v>
      </c>
      <c r="I119" s="8"/>
    </row>
    <row r="120" spans="2:9" x14ac:dyDescent="0.2">
      <c r="B120" s="7"/>
      <c r="C120" s="69" t="str">
        <f t="shared" si="0"/>
        <v>Tunja - Chiquinquira</v>
      </c>
      <c r="D120" s="70" t="s">
        <v>4</v>
      </c>
      <c r="E120" s="105" t="s">
        <v>16</v>
      </c>
      <c r="F120" s="28" t="s">
        <v>108</v>
      </c>
      <c r="G120" s="58" t="s">
        <v>110</v>
      </c>
      <c r="H120" s="31" t="s">
        <v>235</v>
      </c>
      <c r="I120" s="8"/>
    </row>
    <row r="121" spans="2:9" x14ac:dyDescent="0.2">
      <c r="B121" s="7"/>
      <c r="C121" s="72"/>
      <c r="D121" s="73"/>
      <c r="E121" s="108"/>
      <c r="F121" s="29" t="s">
        <v>173</v>
      </c>
      <c r="G121" s="59"/>
      <c r="H121" s="29" t="s">
        <v>237</v>
      </c>
      <c r="I121" s="8"/>
    </row>
    <row r="122" spans="2:9" x14ac:dyDescent="0.2">
      <c r="B122" s="7"/>
      <c r="C122" s="72"/>
      <c r="D122" s="73"/>
      <c r="E122" s="108"/>
      <c r="F122" s="29" t="s">
        <v>112</v>
      </c>
      <c r="G122" s="59"/>
      <c r="H122" s="27" t="s">
        <v>239</v>
      </c>
      <c r="I122" s="8"/>
    </row>
    <row r="123" spans="2:9" x14ac:dyDescent="0.2">
      <c r="B123" s="7"/>
      <c r="C123" s="72"/>
      <c r="D123" s="73"/>
      <c r="E123" s="108"/>
      <c r="F123" s="29" t="s">
        <v>174</v>
      </c>
      <c r="G123" s="59"/>
      <c r="H123" s="29" t="s">
        <v>240</v>
      </c>
      <c r="I123" s="8"/>
    </row>
    <row r="124" spans="2:9" ht="13.5" thickBot="1" x14ac:dyDescent="0.25">
      <c r="B124" s="7"/>
      <c r="C124" s="75"/>
      <c r="D124" s="76"/>
      <c r="E124" s="106"/>
      <c r="F124" s="30" t="s">
        <v>193</v>
      </c>
      <c r="G124" s="60"/>
      <c r="H124" s="30"/>
      <c r="I124" s="8"/>
    </row>
    <row r="125" spans="2:9" ht="13.5" thickBot="1" x14ac:dyDescent="0.25">
      <c r="B125" s="7"/>
      <c r="C125" s="99" t="str">
        <f t="shared" si="0"/>
        <v>Tunja - Chiquinquira</v>
      </c>
      <c r="D125" s="100" t="s">
        <v>4</v>
      </c>
      <c r="E125" s="109" t="s">
        <v>16</v>
      </c>
      <c r="F125" s="42" t="s">
        <v>194</v>
      </c>
      <c r="G125" s="57" t="s">
        <v>2</v>
      </c>
      <c r="H125" s="42"/>
      <c r="I125" s="8"/>
    </row>
    <row r="126" spans="2:9" x14ac:dyDescent="0.2">
      <c r="B126" s="7"/>
      <c r="C126" s="69" t="str">
        <f t="shared" si="0"/>
        <v>Tunja - Paipa</v>
      </c>
      <c r="D126" s="70" t="s">
        <v>4</v>
      </c>
      <c r="E126" s="105" t="s">
        <v>111</v>
      </c>
      <c r="F126" s="28" t="s">
        <v>163</v>
      </c>
      <c r="G126" s="58" t="s">
        <v>3</v>
      </c>
      <c r="H126" s="31" t="s">
        <v>213</v>
      </c>
      <c r="I126" s="8"/>
    </row>
    <row r="127" spans="2:9" ht="13.5" thickBot="1" x14ac:dyDescent="0.25">
      <c r="B127" s="7"/>
      <c r="C127" s="75"/>
      <c r="D127" s="76"/>
      <c r="E127" s="106"/>
      <c r="F127" s="30" t="s">
        <v>164</v>
      </c>
      <c r="G127" s="60"/>
      <c r="H127" s="29" t="s">
        <v>215</v>
      </c>
      <c r="I127" s="8"/>
    </row>
    <row r="128" spans="2:9" ht="13.5" thickBot="1" x14ac:dyDescent="0.25">
      <c r="B128" s="7"/>
      <c r="C128" s="102" t="str">
        <f t="shared" si="0"/>
        <v>Tunja - Pauna</v>
      </c>
      <c r="D128" s="103" t="s">
        <v>4</v>
      </c>
      <c r="E128" s="110" t="s">
        <v>114</v>
      </c>
      <c r="F128" s="40" t="s">
        <v>112</v>
      </c>
      <c r="G128" s="65" t="s">
        <v>16</v>
      </c>
      <c r="H128" s="27" t="s">
        <v>239</v>
      </c>
      <c r="I128" s="8"/>
    </row>
    <row r="129" spans="2:9" ht="13.5" thickBot="1" x14ac:dyDescent="0.25">
      <c r="B129" s="7"/>
      <c r="C129" s="99" t="str">
        <f t="shared" si="0"/>
        <v>Tunja - Rondon</v>
      </c>
      <c r="D129" s="100" t="s">
        <v>4</v>
      </c>
      <c r="E129" s="109" t="s">
        <v>115</v>
      </c>
      <c r="F129" s="42" t="s">
        <v>112</v>
      </c>
      <c r="G129" s="57" t="s">
        <v>31</v>
      </c>
      <c r="H129" s="27" t="s">
        <v>239</v>
      </c>
      <c r="I129" s="8"/>
    </row>
    <row r="130" spans="2:9" ht="13.5" thickBot="1" x14ac:dyDescent="0.25">
      <c r="B130" s="7"/>
      <c r="C130" s="99" t="str">
        <f t="shared" si="0"/>
        <v>Tunja - Umbita</v>
      </c>
      <c r="D130" s="100" t="s">
        <v>4</v>
      </c>
      <c r="E130" s="109" t="s">
        <v>42</v>
      </c>
      <c r="F130" s="42" t="s">
        <v>112</v>
      </c>
      <c r="G130" s="57" t="s">
        <v>120</v>
      </c>
      <c r="H130" s="42"/>
      <c r="I130" s="8"/>
    </row>
    <row r="131" spans="2:9" x14ac:dyDescent="0.2">
      <c r="B131" s="7"/>
      <c r="C131" s="69" t="str">
        <f t="shared" si="0"/>
        <v>Tunja - Umbita</v>
      </c>
      <c r="D131" s="70" t="s">
        <v>4</v>
      </c>
      <c r="E131" s="105" t="s">
        <v>42</v>
      </c>
      <c r="F131" s="28" t="s">
        <v>194</v>
      </c>
      <c r="G131" s="58" t="s">
        <v>53</v>
      </c>
      <c r="H131" s="31"/>
      <c r="I131" s="8"/>
    </row>
    <row r="132" spans="2:9" ht="13.5" thickBot="1" x14ac:dyDescent="0.25">
      <c r="B132" s="7"/>
      <c r="C132" s="75"/>
      <c r="D132" s="76"/>
      <c r="E132" s="106"/>
      <c r="F132" s="30" t="s">
        <v>116</v>
      </c>
      <c r="G132" s="60"/>
      <c r="H132" s="30" t="s">
        <v>214</v>
      </c>
      <c r="I132" s="8"/>
    </row>
    <row r="133" spans="2:9" ht="13.5" thickBot="1" x14ac:dyDescent="0.25">
      <c r="B133" s="7"/>
      <c r="C133" s="99" t="str">
        <f t="shared" si="0"/>
        <v>Tunja - Macanal</v>
      </c>
      <c r="D133" s="100" t="s">
        <v>4</v>
      </c>
      <c r="E133" s="109" t="s">
        <v>117</v>
      </c>
      <c r="F133" s="42" t="s">
        <v>116</v>
      </c>
      <c r="G133" s="57" t="s">
        <v>120</v>
      </c>
      <c r="H133" s="42" t="s">
        <v>214</v>
      </c>
      <c r="I133" s="8"/>
    </row>
    <row r="134" spans="2:9" ht="13.5" thickBot="1" x14ac:dyDescent="0.25">
      <c r="B134" s="7"/>
      <c r="C134" s="99" t="str">
        <f t="shared" si="0"/>
        <v>Tunja - Monterrey</v>
      </c>
      <c r="D134" s="100" t="s">
        <v>4</v>
      </c>
      <c r="E134" s="109" t="s">
        <v>118</v>
      </c>
      <c r="F134" s="42" t="s">
        <v>116</v>
      </c>
      <c r="G134" s="57" t="s">
        <v>121</v>
      </c>
      <c r="H134" s="42" t="s">
        <v>214</v>
      </c>
      <c r="I134" s="8"/>
    </row>
    <row r="135" spans="2:9" ht="13.5" thickBot="1" x14ac:dyDescent="0.25">
      <c r="B135" s="7"/>
      <c r="C135" s="99" t="str">
        <f t="shared" si="0"/>
        <v>Tunja - Guayata</v>
      </c>
      <c r="D135" s="100" t="s">
        <v>4</v>
      </c>
      <c r="E135" s="109" t="s">
        <v>119</v>
      </c>
      <c r="F135" s="42" t="s">
        <v>116</v>
      </c>
      <c r="G135" s="57" t="s">
        <v>121</v>
      </c>
      <c r="H135" s="42" t="s">
        <v>214</v>
      </c>
      <c r="I135" s="8"/>
    </row>
    <row r="136" spans="2:9" ht="13.5" thickBot="1" x14ac:dyDescent="0.25">
      <c r="B136" s="7"/>
      <c r="C136" s="72" t="str">
        <f t="shared" si="0"/>
        <v>Tunja - Guateque</v>
      </c>
      <c r="D136" s="73" t="s">
        <v>4</v>
      </c>
      <c r="E136" s="108" t="s">
        <v>8</v>
      </c>
      <c r="F136" s="43" t="s">
        <v>164</v>
      </c>
      <c r="G136" s="123" t="s">
        <v>122</v>
      </c>
      <c r="H136" s="38" t="s">
        <v>215</v>
      </c>
      <c r="I136" s="8"/>
    </row>
    <row r="137" spans="2:9" ht="26.25" thickBot="1" x14ac:dyDescent="0.25">
      <c r="B137" s="7"/>
      <c r="C137" s="111"/>
      <c r="D137" s="112"/>
      <c r="E137" s="106"/>
      <c r="F137" s="42" t="s">
        <v>187</v>
      </c>
      <c r="G137" s="57" t="s">
        <v>122</v>
      </c>
      <c r="H137" s="42" t="s">
        <v>221</v>
      </c>
      <c r="I137" s="8"/>
    </row>
    <row r="138" spans="2:9" ht="13.5" thickBot="1" x14ac:dyDescent="0.25">
      <c r="B138" s="7"/>
      <c r="C138" s="99" t="str">
        <f t="shared" si="0"/>
        <v>Tunja - Guateque</v>
      </c>
      <c r="D138" s="100" t="s">
        <v>4</v>
      </c>
      <c r="E138" s="109" t="s">
        <v>8</v>
      </c>
      <c r="F138" s="42" t="s">
        <v>194</v>
      </c>
      <c r="G138" s="57" t="s">
        <v>156</v>
      </c>
      <c r="H138" s="42"/>
      <c r="I138" s="8"/>
    </row>
    <row r="139" spans="2:9" ht="26.25" thickBot="1" x14ac:dyDescent="0.25">
      <c r="B139" s="7"/>
      <c r="C139" s="102" t="str">
        <f t="shared" si="0"/>
        <v>Tunja - Garagoa</v>
      </c>
      <c r="D139" s="100" t="s">
        <v>4</v>
      </c>
      <c r="E139" s="109" t="s">
        <v>7</v>
      </c>
      <c r="F139" s="40" t="s">
        <v>187</v>
      </c>
      <c r="G139" s="65" t="s">
        <v>124</v>
      </c>
      <c r="H139" s="40" t="s">
        <v>221</v>
      </c>
      <c r="I139" s="8"/>
    </row>
    <row r="140" spans="2:9" ht="26.25" thickBot="1" x14ac:dyDescent="0.25">
      <c r="B140" s="7"/>
      <c r="C140" s="39" t="str">
        <f t="shared" si="0"/>
        <v>Tunja - Garagoa</v>
      </c>
      <c r="D140" s="113" t="s">
        <v>4</v>
      </c>
      <c r="E140" s="109" t="s">
        <v>7</v>
      </c>
      <c r="F140" s="42" t="s">
        <v>187</v>
      </c>
      <c r="G140" s="57" t="s">
        <v>61</v>
      </c>
      <c r="H140" s="42" t="s">
        <v>221</v>
      </c>
      <c r="I140" s="8"/>
    </row>
    <row r="141" spans="2:9" ht="13.5" thickBot="1" x14ac:dyDescent="0.25">
      <c r="B141" s="7"/>
      <c r="C141" s="99" t="str">
        <f t="shared" si="0"/>
        <v>Tunja - Gachantiva</v>
      </c>
      <c r="D141" s="100" t="s">
        <v>4</v>
      </c>
      <c r="E141" s="109" t="s">
        <v>136</v>
      </c>
      <c r="F141" s="42" t="s">
        <v>190</v>
      </c>
      <c r="G141" s="57" t="s">
        <v>2</v>
      </c>
      <c r="H141" s="42"/>
      <c r="I141" s="8"/>
    </row>
    <row r="142" spans="2:9" ht="13.5" thickBot="1" x14ac:dyDescent="0.25">
      <c r="B142" s="7"/>
      <c r="C142" s="114" t="str">
        <f t="shared" si="0"/>
        <v>Tunja - Togui</v>
      </c>
      <c r="D142" s="115" t="s">
        <v>4</v>
      </c>
      <c r="E142" s="116" t="s">
        <v>128</v>
      </c>
      <c r="F142" s="41" t="s">
        <v>190</v>
      </c>
      <c r="G142" s="66" t="s">
        <v>27</v>
      </c>
      <c r="H142" s="41"/>
      <c r="I142" s="8"/>
    </row>
    <row r="143" spans="2:9" ht="13.5" thickBot="1" x14ac:dyDescent="0.25">
      <c r="B143" s="7"/>
      <c r="C143" s="99" t="str">
        <f t="shared" ref="C143:C150" si="1">CONCATENATE(D143," - ",E143)</f>
        <v>Tunja - Sogamoso</v>
      </c>
      <c r="D143" s="117" t="s">
        <v>4</v>
      </c>
      <c r="E143" s="118" t="s">
        <v>33</v>
      </c>
      <c r="F143" s="42" t="s">
        <v>189</v>
      </c>
      <c r="G143" s="64" t="s">
        <v>135</v>
      </c>
      <c r="H143" s="39"/>
      <c r="I143" s="8"/>
    </row>
    <row r="144" spans="2:9" ht="13.5" thickBot="1" x14ac:dyDescent="0.25">
      <c r="B144" s="7"/>
      <c r="C144" s="99" t="str">
        <f t="shared" si="1"/>
        <v>Tunja - Villanueva</v>
      </c>
      <c r="D144" s="117" t="s">
        <v>4</v>
      </c>
      <c r="E144" s="118" t="s">
        <v>143</v>
      </c>
      <c r="F144" s="42" t="s">
        <v>192</v>
      </c>
      <c r="G144" s="64" t="s">
        <v>145</v>
      </c>
      <c r="H144" s="39"/>
      <c r="I144" s="8"/>
    </row>
    <row r="145" spans="2:9" ht="13.5" thickBot="1" x14ac:dyDescent="0.25">
      <c r="B145" s="7"/>
      <c r="C145" s="99" t="str">
        <f t="shared" si="1"/>
        <v>Tunja - Jenesano</v>
      </c>
      <c r="D145" s="117" t="s">
        <v>4</v>
      </c>
      <c r="E145" s="118" t="s">
        <v>62</v>
      </c>
      <c r="F145" s="42" t="s">
        <v>192</v>
      </c>
      <c r="G145" s="64" t="s">
        <v>58</v>
      </c>
      <c r="H145" s="39"/>
      <c r="I145" s="8"/>
    </row>
    <row r="146" spans="2:9" ht="13.5" thickBot="1" x14ac:dyDescent="0.25">
      <c r="B146" s="7"/>
      <c r="C146" s="99" t="str">
        <f t="shared" si="1"/>
        <v>Tunja - Chivor</v>
      </c>
      <c r="D146" s="117" t="s">
        <v>4</v>
      </c>
      <c r="E146" s="118" t="s">
        <v>43</v>
      </c>
      <c r="F146" s="42" t="s">
        <v>194</v>
      </c>
      <c r="G146" s="64" t="s">
        <v>151</v>
      </c>
      <c r="H146" s="39"/>
      <c r="I146" s="8"/>
    </row>
    <row r="147" spans="2:9" ht="13.5" thickBot="1" x14ac:dyDescent="0.25">
      <c r="B147" s="7"/>
      <c r="C147" s="80" t="str">
        <f t="shared" si="1"/>
        <v>Tunja - La Union</v>
      </c>
      <c r="D147" s="119" t="s">
        <v>4</v>
      </c>
      <c r="E147" s="120" t="s">
        <v>153</v>
      </c>
      <c r="F147" s="43" t="s">
        <v>194</v>
      </c>
      <c r="G147" s="124" t="s">
        <v>154</v>
      </c>
      <c r="H147" s="34"/>
      <c r="I147" s="8"/>
    </row>
    <row r="148" spans="2:9" ht="13.5" thickBot="1" x14ac:dyDescent="0.25">
      <c r="B148" s="7"/>
      <c r="C148" s="99" t="str">
        <f t="shared" si="1"/>
        <v>Tunja - La Union</v>
      </c>
      <c r="D148" s="117" t="s">
        <v>4</v>
      </c>
      <c r="E148" s="118" t="s">
        <v>153</v>
      </c>
      <c r="F148" s="42" t="s">
        <v>194</v>
      </c>
      <c r="G148" s="64" t="s">
        <v>155</v>
      </c>
      <c r="H148" s="39"/>
      <c r="I148" s="8"/>
    </row>
    <row r="149" spans="2:9" ht="13.5" thickBot="1" x14ac:dyDescent="0.25">
      <c r="B149" s="7"/>
      <c r="C149" s="80" t="str">
        <f t="shared" si="1"/>
        <v>Tunja - La Capilla</v>
      </c>
      <c r="D149" s="119" t="s">
        <v>4</v>
      </c>
      <c r="E149" s="120" t="s">
        <v>44</v>
      </c>
      <c r="F149" s="43" t="s">
        <v>194</v>
      </c>
      <c r="G149" s="124" t="s">
        <v>152</v>
      </c>
      <c r="H149" s="34"/>
      <c r="I149" s="8"/>
    </row>
    <row r="150" spans="2:9" ht="13.5" thickBot="1" x14ac:dyDescent="0.25">
      <c r="B150" s="7"/>
      <c r="C150" s="99" t="str">
        <f t="shared" si="1"/>
        <v>Tunja - Pachavita</v>
      </c>
      <c r="D150" s="117" t="s">
        <v>4</v>
      </c>
      <c r="E150" s="118" t="s">
        <v>157</v>
      </c>
      <c r="F150" s="42" t="s">
        <v>194</v>
      </c>
      <c r="G150" s="64" t="s">
        <v>158</v>
      </c>
      <c r="H150" s="39"/>
      <c r="I150" s="8"/>
    </row>
    <row r="151" spans="2:9" ht="25.5" x14ac:dyDescent="0.2">
      <c r="B151" s="7"/>
      <c r="C151" s="72" t="str">
        <f>CONCATENATE(D151," - ",E151)</f>
        <v>Bogotá - Yopal</v>
      </c>
      <c r="D151" s="73" t="s">
        <v>180</v>
      </c>
      <c r="E151" s="74" t="s">
        <v>13</v>
      </c>
      <c r="F151" s="38" t="s">
        <v>182</v>
      </c>
      <c r="G151" s="58" t="s">
        <v>91</v>
      </c>
      <c r="H151" s="40" t="s">
        <v>218</v>
      </c>
      <c r="I151" s="8"/>
    </row>
    <row r="152" spans="2:9" x14ac:dyDescent="0.2">
      <c r="B152" s="7"/>
      <c r="C152" s="72"/>
      <c r="D152" s="73"/>
      <c r="E152" s="74"/>
      <c r="F152" s="29" t="s">
        <v>181</v>
      </c>
      <c r="G152" s="59"/>
      <c r="H152" s="29" t="s">
        <v>219</v>
      </c>
      <c r="I152" s="8"/>
    </row>
    <row r="153" spans="2:9" ht="13.5" thickBot="1" x14ac:dyDescent="0.25">
      <c r="B153" s="7"/>
      <c r="C153" s="72"/>
      <c r="D153" s="73"/>
      <c r="E153" s="74"/>
      <c r="F153" s="37" t="s">
        <v>189</v>
      </c>
      <c r="G153" s="60"/>
      <c r="H153" s="30"/>
      <c r="I153" s="8"/>
    </row>
    <row r="154" spans="2:9" x14ac:dyDescent="0.2">
      <c r="B154" s="7"/>
      <c r="C154" s="69" t="str">
        <f t="shared" ref="C154:C212" si="2">CONCATENATE(D154," - ",E154)</f>
        <v>Bogotá - Aquitania</v>
      </c>
      <c r="D154" s="70" t="s">
        <v>180</v>
      </c>
      <c r="E154" s="71" t="s">
        <v>22</v>
      </c>
      <c r="F154" s="28" t="s">
        <v>181</v>
      </c>
      <c r="G154" s="58" t="s">
        <v>139</v>
      </c>
      <c r="H154" s="28" t="s">
        <v>219</v>
      </c>
      <c r="I154" s="8"/>
    </row>
    <row r="155" spans="2:9" ht="13.5" thickBot="1" x14ac:dyDescent="0.25">
      <c r="B155" s="7"/>
      <c r="C155" s="75"/>
      <c r="D155" s="76"/>
      <c r="E155" s="77"/>
      <c r="F155" s="30" t="s">
        <v>191</v>
      </c>
      <c r="G155" s="60"/>
      <c r="H155" s="30"/>
      <c r="I155" s="8"/>
    </row>
    <row r="156" spans="2:9" ht="24.75" customHeight="1" thickBot="1" x14ac:dyDescent="0.25">
      <c r="B156" s="7"/>
      <c r="C156" s="80" t="str">
        <f t="shared" si="2"/>
        <v>Bogotá - Belen</v>
      </c>
      <c r="D156" s="81" t="s">
        <v>180</v>
      </c>
      <c r="E156" s="82" t="s">
        <v>23</v>
      </c>
      <c r="F156" s="43" t="s">
        <v>188</v>
      </c>
      <c r="G156" s="123" t="s">
        <v>63</v>
      </c>
      <c r="H156" s="43" t="s">
        <v>242</v>
      </c>
      <c r="I156" s="8"/>
    </row>
    <row r="157" spans="2:9" ht="38.25" customHeight="1" x14ac:dyDescent="0.2">
      <c r="B157" s="7"/>
      <c r="C157" s="69" t="str">
        <f t="shared" si="2"/>
        <v>Bogotá - Belencito</v>
      </c>
      <c r="D157" s="70" t="s">
        <v>180</v>
      </c>
      <c r="E157" s="71" t="s">
        <v>24</v>
      </c>
      <c r="F157" s="28" t="s">
        <v>182</v>
      </c>
      <c r="G157" s="58" t="s">
        <v>64</v>
      </c>
      <c r="H157" s="40" t="s">
        <v>218</v>
      </c>
      <c r="I157" s="8"/>
    </row>
    <row r="158" spans="2:9" ht="13.5" thickBot="1" x14ac:dyDescent="0.25">
      <c r="B158" s="7"/>
      <c r="C158" s="75"/>
      <c r="D158" s="76"/>
      <c r="E158" s="77"/>
      <c r="F158" s="30" t="s">
        <v>189</v>
      </c>
      <c r="G158" s="60"/>
      <c r="H158" s="30"/>
      <c r="I158" s="8"/>
    </row>
    <row r="159" spans="2:9" ht="37.5" customHeight="1" x14ac:dyDescent="0.2">
      <c r="B159" s="7"/>
      <c r="C159" s="69" t="str">
        <f t="shared" si="2"/>
        <v>Bogotá - Chiscas</v>
      </c>
      <c r="D159" s="70" t="s">
        <v>180</v>
      </c>
      <c r="E159" s="71" t="s">
        <v>25</v>
      </c>
      <c r="F159" s="28" t="s">
        <v>188</v>
      </c>
      <c r="G159" s="58" t="s">
        <v>65</v>
      </c>
      <c r="H159" s="40" t="s">
        <v>242</v>
      </c>
      <c r="I159" s="8"/>
    </row>
    <row r="160" spans="2:9" ht="13.5" thickBot="1" x14ac:dyDescent="0.25">
      <c r="B160" s="7"/>
      <c r="C160" s="75"/>
      <c r="D160" s="76"/>
      <c r="E160" s="77"/>
      <c r="F160" s="30" t="s">
        <v>191</v>
      </c>
      <c r="G160" s="60"/>
      <c r="H160" s="30"/>
      <c r="I160" s="8"/>
    </row>
    <row r="161" spans="2:9" ht="36.75" customHeight="1" x14ac:dyDescent="0.2">
      <c r="B161" s="7"/>
      <c r="C161" s="72" t="str">
        <f t="shared" si="2"/>
        <v>Bogotá - Chita</v>
      </c>
      <c r="D161" s="73" t="s">
        <v>180</v>
      </c>
      <c r="E161" s="74" t="s">
        <v>66</v>
      </c>
      <c r="F161" s="38" t="s">
        <v>188</v>
      </c>
      <c r="G161" s="62" t="s">
        <v>3</v>
      </c>
      <c r="H161" s="43" t="s">
        <v>242</v>
      </c>
      <c r="I161" s="8"/>
    </row>
    <row r="162" spans="2:9" ht="13.5" thickBot="1" x14ac:dyDescent="0.25">
      <c r="B162" s="7"/>
      <c r="C162" s="75"/>
      <c r="D162" s="76"/>
      <c r="E162" s="77"/>
      <c r="F162" s="30" t="s">
        <v>181</v>
      </c>
      <c r="G162" s="63"/>
      <c r="H162" s="30" t="s">
        <v>219</v>
      </c>
      <c r="I162" s="8"/>
    </row>
    <row r="163" spans="2:9" ht="25.5" customHeight="1" x14ac:dyDescent="0.2">
      <c r="B163" s="7"/>
      <c r="C163" s="72" t="str">
        <f t="shared" si="2"/>
        <v>Bogotá - Corrales</v>
      </c>
      <c r="D163" s="73" t="s">
        <v>180</v>
      </c>
      <c r="E163" s="74" t="s">
        <v>67</v>
      </c>
      <c r="F163" s="38" t="s">
        <v>191</v>
      </c>
      <c r="G163" s="58" t="s">
        <v>68</v>
      </c>
      <c r="H163" s="38"/>
      <c r="I163" s="8"/>
    </row>
    <row r="164" spans="2:9" ht="13.5" thickBot="1" x14ac:dyDescent="0.25">
      <c r="B164" s="7"/>
      <c r="C164" s="72"/>
      <c r="D164" s="73"/>
      <c r="E164" s="74"/>
      <c r="F164" s="37" t="s">
        <v>188</v>
      </c>
      <c r="G164" s="60"/>
      <c r="H164" s="43" t="s">
        <v>242</v>
      </c>
      <c r="I164" s="8"/>
    </row>
    <row r="165" spans="2:9" ht="37.5" customHeight="1" x14ac:dyDescent="0.2">
      <c r="B165" s="7"/>
      <c r="C165" s="69" t="str">
        <f t="shared" si="2"/>
        <v>Bogotá - Duitama</v>
      </c>
      <c r="D165" s="70" t="s">
        <v>180</v>
      </c>
      <c r="E165" s="71" t="s">
        <v>5</v>
      </c>
      <c r="F165" s="28" t="s">
        <v>182</v>
      </c>
      <c r="G165" s="58" t="s">
        <v>4</v>
      </c>
      <c r="H165" s="28" t="s">
        <v>218</v>
      </c>
      <c r="I165" s="8"/>
    </row>
    <row r="166" spans="2:9" x14ac:dyDescent="0.2">
      <c r="B166" s="7"/>
      <c r="C166" s="72"/>
      <c r="D166" s="73"/>
      <c r="E166" s="74"/>
      <c r="F166" s="29" t="s">
        <v>189</v>
      </c>
      <c r="G166" s="59"/>
      <c r="H166" s="29"/>
      <c r="I166" s="8"/>
    </row>
    <row r="167" spans="2:9" x14ac:dyDescent="0.2">
      <c r="B167" s="7"/>
      <c r="C167" s="72"/>
      <c r="D167" s="73"/>
      <c r="E167" s="74"/>
      <c r="F167" s="29" t="s">
        <v>188</v>
      </c>
      <c r="G167" s="59"/>
      <c r="H167" s="43" t="s">
        <v>242</v>
      </c>
      <c r="I167" s="8"/>
    </row>
    <row r="168" spans="2:9" ht="13.5" thickBot="1" x14ac:dyDescent="0.25">
      <c r="B168" s="7"/>
      <c r="C168" s="75"/>
      <c r="D168" s="76"/>
      <c r="E168" s="77"/>
      <c r="F168" s="30" t="s">
        <v>191</v>
      </c>
      <c r="G168" s="60"/>
      <c r="H168" s="30"/>
      <c r="I168" s="8"/>
    </row>
    <row r="169" spans="2:9" ht="25.5" customHeight="1" thickBot="1" x14ac:dyDescent="0.25">
      <c r="B169" s="7"/>
      <c r="C169" s="80" t="str">
        <f t="shared" si="2"/>
        <v>Bogotá - Floresta</v>
      </c>
      <c r="D169" s="81" t="s">
        <v>180</v>
      </c>
      <c r="E169" s="82" t="s">
        <v>70</v>
      </c>
      <c r="F169" s="43" t="s">
        <v>188</v>
      </c>
      <c r="G169" s="123" t="s">
        <v>71</v>
      </c>
      <c r="H169" s="43" t="s">
        <v>242</v>
      </c>
      <c r="I169" s="8"/>
    </row>
    <row r="170" spans="2:9" ht="24.75" customHeight="1" thickBot="1" x14ac:dyDescent="0.25">
      <c r="B170" s="7"/>
      <c r="C170" s="102" t="str">
        <f t="shared" si="2"/>
        <v>Bogotá - Gameza</v>
      </c>
      <c r="D170" s="103" t="s">
        <v>180</v>
      </c>
      <c r="E170" s="104" t="s">
        <v>72</v>
      </c>
      <c r="F170" s="40" t="s">
        <v>181</v>
      </c>
      <c r="G170" s="65" t="s">
        <v>64</v>
      </c>
      <c r="H170" s="40" t="s">
        <v>219</v>
      </c>
      <c r="I170" s="8"/>
    </row>
    <row r="171" spans="2:9" ht="50.25" customHeight="1" x14ac:dyDescent="0.2">
      <c r="B171" s="7"/>
      <c r="C171" s="69" t="str">
        <f t="shared" si="2"/>
        <v>Bogotá - Guican</v>
      </c>
      <c r="D171" s="70" t="s">
        <v>180</v>
      </c>
      <c r="E171" s="71" t="s">
        <v>74</v>
      </c>
      <c r="F171" s="28" t="s">
        <v>181</v>
      </c>
      <c r="G171" s="58" t="s">
        <v>77</v>
      </c>
      <c r="H171" s="28" t="s">
        <v>219</v>
      </c>
      <c r="I171" s="8"/>
    </row>
    <row r="172" spans="2:9" x14ac:dyDescent="0.2">
      <c r="B172" s="7"/>
      <c r="C172" s="72"/>
      <c r="D172" s="73"/>
      <c r="E172" s="74"/>
      <c r="F172" s="29" t="s">
        <v>188</v>
      </c>
      <c r="G172" s="59"/>
      <c r="H172" s="43" t="s">
        <v>242</v>
      </c>
      <c r="I172" s="8"/>
    </row>
    <row r="173" spans="2:9" ht="13.5" thickBot="1" x14ac:dyDescent="0.25">
      <c r="B173" s="7"/>
      <c r="C173" s="75"/>
      <c r="D173" s="76"/>
      <c r="E173" s="77"/>
      <c r="F173" s="30" t="s">
        <v>191</v>
      </c>
      <c r="G173" s="60"/>
      <c r="H173" s="30"/>
      <c r="I173" s="8"/>
    </row>
    <row r="174" spans="2:9" ht="27.75" customHeight="1" thickBot="1" x14ac:dyDescent="0.25">
      <c r="B174" s="7"/>
      <c r="C174" s="99" t="str">
        <f t="shared" si="2"/>
        <v>Bogotá - Jerico</v>
      </c>
      <c r="D174" s="100" t="s">
        <v>180</v>
      </c>
      <c r="E174" s="101" t="s">
        <v>78</v>
      </c>
      <c r="F174" s="42" t="s">
        <v>188</v>
      </c>
      <c r="G174" s="57" t="s">
        <v>79</v>
      </c>
      <c r="H174" s="42" t="s">
        <v>242</v>
      </c>
      <c r="I174" s="8"/>
    </row>
    <row r="175" spans="2:9" ht="12.75" customHeight="1" x14ac:dyDescent="0.2">
      <c r="B175" s="7"/>
      <c r="C175" s="72" t="str">
        <f t="shared" si="2"/>
        <v>Bogotá - La Uvita</v>
      </c>
      <c r="D175" s="73" t="s">
        <v>180</v>
      </c>
      <c r="E175" s="74" t="s">
        <v>80</v>
      </c>
      <c r="F175" s="38" t="s">
        <v>188</v>
      </c>
      <c r="G175" s="59" t="s">
        <v>76</v>
      </c>
      <c r="H175" s="38"/>
      <c r="I175" s="8"/>
    </row>
    <row r="176" spans="2:9" ht="12.75" customHeight="1" thickBot="1" x14ac:dyDescent="0.25">
      <c r="B176" s="7"/>
      <c r="C176" s="72"/>
      <c r="D176" s="73"/>
      <c r="E176" s="74"/>
      <c r="F176" s="37" t="s">
        <v>181</v>
      </c>
      <c r="G176" s="60"/>
      <c r="H176" s="37" t="s">
        <v>219</v>
      </c>
      <c r="I176" s="8"/>
    </row>
    <row r="177" spans="2:10" ht="26.25" customHeight="1" thickBot="1" x14ac:dyDescent="0.25">
      <c r="B177" s="7"/>
      <c r="C177" s="80" t="str">
        <f t="shared" si="2"/>
        <v>Bogotá - Mongua</v>
      </c>
      <c r="D177" s="81" t="s">
        <v>180</v>
      </c>
      <c r="E177" s="82" t="s">
        <v>82</v>
      </c>
      <c r="F177" s="43" t="s">
        <v>181</v>
      </c>
      <c r="G177" s="123" t="s">
        <v>64</v>
      </c>
      <c r="H177" s="43" t="s">
        <v>219</v>
      </c>
      <c r="I177" s="8"/>
    </row>
    <row r="178" spans="2:10" ht="40.5" customHeight="1" x14ac:dyDescent="0.2">
      <c r="B178" s="7"/>
      <c r="C178" s="69" t="str">
        <f t="shared" si="2"/>
        <v>Bogotá - Mongui</v>
      </c>
      <c r="D178" s="70" t="s">
        <v>180</v>
      </c>
      <c r="E178" s="71" t="s">
        <v>81</v>
      </c>
      <c r="F178" s="28" t="s">
        <v>181</v>
      </c>
      <c r="G178" s="58" t="s">
        <v>64</v>
      </c>
      <c r="H178" s="28" t="s">
        <v>219</v>
      </c>
      <c r="I178" s="8"/>
    </row>
    <row r="179" spans="2:10" ht="13.5" thickBot="1" x14ac:dyDescent="0.25">
      <c r="B179" s="7"/>
      <c r="C179" s="75"/>
      <c r="D179" s="76"/>
      <c r="E179" s="77"/>
      <c r="F179" s="30" t="s">
        <v>191</v>
      </c>
      <c r="G179" s="60"/>
      <c r="H179" s="30"/>
      <c r="I179" s="8"/>
    </row>
    <row r="180" spans="2:10" ht="26.25" customHeight="1" thickBot="1" x14ac:dyDescent="0.25">
      <c r="B180" s="7"/>
      <c r="C180" s="80" t="str">
        <f t="shared" si="2"/>
        <v>Bogotá - Nobsa</v>
      </c>
      <c r="D180" s="81" t="s">
        <v>180</v>
      </c>
      <c r="E180" s="82" t="s">
        <v>50</v>
      </c>
      <c r="F180" s="43" t="s">
        <v>188</v>
      </c>
      <c r="G180" s="123" t="s">
        <v>64</v>
      </c>
      <c r="H180" s="43"/>
      <c r="I180" s="8"/>
    </row>
    <row r="181" spans="2:10" ht="37.5" customHeight="1" x14ac:dyDescent="0.2">
      <c r="B181" s="7"/>
      <c r="C181" s="69" t="str">
        <f t="shared" si="2"/>
        <v>Bogotá - Paz de Ariporo</v>
      </c>
      <c r="D181" s="70" t="s">
        <v>180</v>
      </c>
      <c r="E181" s="71" t="s">
        <v>19</v>
      </c>
      <c r="F181" s="28" t="s">
        <v>182</v>
      </c>
      <c r="G181" s="58" t="s">
        <v>83</v>
      </c>
      <c r="H181" s="28" t="s">
        <v>218</v>
      </c>
      <c r="I181" s="8"/>
    </row>
    <row r="182" spans="2:10" ht="13.5" thickBot="1" x14ac:dyDescent="0.25">
      <c r="B182" s="7"/>
      <c r="C182" s="75"/>
      <c r="D182" s="76"/>
      <c r="E182" s="77"/>
      <c r="F182" s="30" t="s">
        <v>192</v>
      </c>
      <c r="G182" s="60"/>
      <c r="H182" s="30"/>
      <c r="I182" s="8"/>
    </row>
    <row r="183" spans="2:10" ht="30.75" customHeight="1" thickBot="1" x14ac:dyDescent="0.25">
      <c r="B183" s="7"/>
      <c r="C183" s="80" t="str">
        <f t="shared" si="2"/>
        <v>Bogotá - Pesca</v>
      </c>
      <c r="D183" s="81" t="s">
        <v>180</v>
      </c>
      <c r="E183" s="82" t="s">
        <v>30</v>
      </c>
      <c r="F183" s="43" t="s">
        <v>189</v>
      </c>
      <c r="G183" s="124" t="s">
        <v>3</v>
      </c>
      <c r="H183" s="34"/>
      <c r="I183" s="8"/>
    </row>
    <row r="184" spans="2:10" ht="26.25" customHeight="1" thickBot="1" x14ac:dyDescent="0.25">
      <c r="B184" s="7"/>
      <c r="C184" s="99" t="str">
        <f t="shared" si="2"/>
        <v>Bogotá - Paz de Rio</v>
      </c>
      <c r="D184" s="100" t="s">
        <v>180</v>
      </c>
      <c r="E184" s="101" t="s">
        <v>161</v>
      </c>
      <c r="F184" s="42" t="s">
        <v>188</v>
      </c>
      <c r="G184" s="57" t="s">
        <v>84</v>
      </c>
      <c r="H184" s="42"/>
      <c r="I184" s="8"/>
    </row>
    <row r="185" spans="2:10" ht="43.5" customHeight="1" x14ac:dyDescent="0.2">
      <c r="B185" s="7"/>
      <c r="C185" s="72" t="str">
        <f t="shared" si="2"/>
        <v>Bogotá - San Mateo</v>
      </c>
      <c r="D185" s="73" t="s">
        <v>180</v>
      </c>
      <c r="E185" s="74" t="s">
        <v>85</v>
      </c>
      <c r="F185" s="38" t="s">
        <v>181</v>
      </c>
      <c r="G185" s="61" t="s">
        <v>3</v>
      </c>
      <c r="H185" s="38" t="s">
        <v>219</v>
      </c>
      <c r="I185" s="8"/>
    </row>
    <row r="186" spans="2:10" ht="13.5" thickBot="1" x14ac:dyDescent="0.25">
      <c r="B186" s="7"/>
      <c r="C186" s="72"/>
      <c r="D186" s="73"/>
      <c r="E186" s="74"/>
      <c r="F186" s="37" t="s">
        <v>188</v>
      </c>
      <c r="G186" s="63"/>
      <c r="H186" s="44"/>
      <c r="I186" s="8"/>
    </row>
    <row r="187" spans="2:10" ht="29.25" customHeight="1" thickBot="1" x14ac:dyDescent="0.25">
      <c r="B187" s="7"/>
      <c r="C187" s="99" t="str">
        <f t="shared" si="2"/>
        <v>Bogotá - Santa Rosa de Viterbo</v>
      </c>
      <c r="D187" s="100" t="s">
        <v>180</v>
      </c>
      <c r="E187" s="109" t="s">
        <v>160</v>
      </c>
      <c r="F187" s="42" t="s">
        <v>181</v>
      </c>
      <c r="G187" s="64" t="s">
        <v>3</v>
      </c>
      <c r="H187" s="39" t="s">
        <v>219</v>
      </c>
      <c r="I187" s="8"/>
      <c r="J187" s="19"/>
    </row>
    <row r="188" spans="2:10" ht="28.5" customHeight="1" thickBot="1" x14ac:dyDescent="0.25">
      <c r="B188" s="7"/>
      <c r="C188" s="80" t="str">
        <f t="shared" si="2"/>
        <v>Bogotá - Sativanorte</v>
      </c>
      <c r="D188" s="81" t="s">
        <v>180</v>
      </c>
      <c r="E188" s="82" t="s">
        <v>86</v>
      </c>
      <c r="F188" s="43" t="s">
        <v>188</v>
      </c>
      <c r="G188" s="124" t="s">
        <v>3</v>
      </c>
      <c r="H188" s="34"/>
      <c r="I188" s="8"/>
    </row>
    <row r="189" spans="2:10" ht="26.25" customHeight="1" thickBot="1" x14ac:dyDescent="0.25">
      <c r="B189" s="7"/>
      <c r="C189" s="99" t="str">
        <f t="shared" si="2"/>
        <v>Bogotá - Socha</v>
      </c>
      <c r="D189" s="100" t="s">
        <v>180</v>
      </c>
      <c r="E189" s="101" t="s">
        <v>29</v>
      </c>
      <c r="F189" s="42" t="s">
        <v>188</v>
      </c>
      <c r="G189" s="64" t="s">
        <v>3</v>
      </c>
      <c r="H189" s="39"/>
      <c r="I189" s="8"/>
    </row>
    <row r="190" spans="2:10" ht="22.5" customHeight="1" thickBot="1" x14ac:dyDescent="0.25">
      <c r="B190" s="7"/>
      <c r="C190" s="80" t="str">
        <f t="shared" si="2"/>
        <v>Bogotá - Socota</v>
      </c>
      <c r="D190" s="81" t="s">
        <v>180</v>
      </c>
      <c r="E190" s="82" t="s">
        <v>28</v>
      </c>
      <c r="F190" s="43" t="s">
        <v>188</v>
      </c>
      <c r="G190" s="124" t="s">
        <v>3</v>
      </c>
      <c r="H190" s="34"/>
      <c r="I190" s="8"/>
    </row>
    <row r="191" spans="2:10" ht="36.75" customHeight="1" thickBot="1" x14ac:dyDescent="0.25">
      <c r="B191" s="7"/>
      <c r="C191" s="111" t="str">
        <f t="shared" si="2"/>
        <v>Bogotá - Sogamoso</v>
      </c>
      <c r="D191" s="121" t="s">
        <v>180</v>
      </c>
      <c r="E191" s="71" t="s">
        <v>33</v>
      </c>
      <c r="F191" s="28" t="s">
        <v>182</v>
      </c>
      <c r="G191" s="58" t="s">
        <v>3</v>
      </c>
      <c r="H191" s="28" t="s">
        <v>218</v>
      </c>
      <c r="I191" s="8"/>
    </row>
    <row r="192" spans="2:10" x14ac:dyDescent="0.2">
      <c r="B192" s="7"/>
      <c r="C192" s="72"/>
      <c r="D192" s="73"/>
      <c r="E192" s="74"/>
      <c r="F192" s="29" t="s">
        <v>181</v>
      </c>
      <c r="G192" s="59"/>
      <c r="H192" s="29" t="s">
        <v>219</v>
      </c>
      <c r="I192" s="8"/>
    </row>
    <row r="193" spans="2:12" ht="13.5" thickBot="1" x14ac:dyDescent="0.25">
      <c r="B193" s="7"/>
      <c r="C193" s="75"/>
      <c r="D193" s="76"/>
      <c r="E193" s="77"/>
      <c r="F193" s="30" t="s">
        <v>189</v>
      </c>
      <c r="G193" s="60"/>
      <c r="H193" s="30"/>
      <c r="I193" s="8"/>
    </row>
    <row r="194" spans="2:12" ht="41.25" customHeight="1" x14ac:dyDescent="0.2">
      <c r="B194" s="7"/>
      <c r="C194" s="69" t="str">
        <f t="shared" si="2"/>
        <v>Bogotá - Tame</v>
      </c>
      <c r="D194" s="70" t="s">
        <v>180</v>
      </c>
      <c r="E194" s="71" t="s">
        <v>32</v>
      </c>
      <c r="F194" s="28" t="s">
        <v>188</v>
      </c>
      <c r="G194" s="58" t="s">
        <v>29</v>
      </c>
      <c r="H194" s="28"/>
      <c r="I194" s="8"/>
    </row>
    <row r="195" spans="2:12" ht="13.5" thickBot="1" x14ac:dyDescent="0.25">
      <c r="B195" s="7"/>
      <c r="C195" s="75"/>
      <c r="D195" s="76"/>
      <c r="E195" s="77"/>
      <c r="F195" s="30" t="s">
        <v>192</v>
      </c>
      <c r="G195" s="60"/>
      <c r="H195" s="30"/>
      <c r="I195" s="8"/>
    </row>
    <row r="196" spans="2:12" ht="13.5" thickBot="1" x14ac:dyDescent="0.25">
      <c r="B196" s="9"/>
      <c r="C196" s="68"/>
      <c r="D196" s="131"/>
      <c r="E196" s="131"/>
      <c r="F196" s="66"/>
      <c r="G196" s="66"/>
      <c r="H196" s="66"/>
      <c r="I196" s="11"/>
    </row>
    <row r="197" spans="2:12" ht="13.5" thickBot="1" x14ac:dyDescent="0.25">
      <c r="B197" s="3"/>
      <c r="C197" s="67"/>
      <c r="D197" s="132"/>
      <c r="E197" s="132"/>
      <c r="F197" s="65"/>
      <c r="G197" s="65"/>
      <c r="H197" s="65"/>
      <c r="I197" s="6"/>
    </row>
    <row r="198" spans="2:12" ht="13.5" thickBot="1" x14ac:dyDescent="0.25">
      <c r="B198" s="7"/>
      <c r="C198" s="125" t="s">
        <v>45</v>
      </c>
      <c r="D198" s="126" t="s">
        <v>0</v>
      </c>
      <c r="E198" s="126" t="s">
        <v>1</v>
      </c>
      <c r="F198" s="127" t="s">
        <v>220</v>
      </c>
      <c r="G198" s="127" t="s">
        <v>49</v>
      </c>
      <c r="H198" s="128" t="s">
        <v>205</v>
      </c>
      <c r="I198" s="8"/>
    </row>
    <row r="199" spans="2:12" ht="43.5" customHeight="1" x14ac:dyDescent="0.2">
      <c r="B199" s="7"/>
      <c r="C199" s="69" t="str">
        <f t="shared" si="2"/>
        <v>Bogotá - Tasco</v>
      </c>
      <c r="D199" s="70" t="s">
        <v>180</v>
      </c>
      <c r="E199" s="71" t="s">
        <v>87</v>
      </c>
      <c r="F199" s="28" t="s">
        <v>188</v>
      </c>
      <c r="G199" s="58" t="s">
        <v>88</v>
      </c>
      <c r="H199" s="28"/>
      <c r="I199" s="8"/>
      <c r="L199" s="13"/>
    </row>
    <row r="200" spans="2:12" ht="13.5" thickBot="1" x14ac:dyDescent="0.25">
      <c r="B200" s="7"/>
      <c r="C200" s="75"/>
      <c r="D200" s="76"/>
      <c r="E200" s="77"/>
      <c r="F200" s="30" t="s">
        <v>189</v>
      </c>
      <c r="G200" s="60"/>
      <c r="H200" s="30"/>
      <c r="I200" s="8"/>
      <c r="L200" s="13"/>
    </row>
    <row r="201" spans="2:12" ht="27.75" customHeight="1" thickBot="1" x14ac:dyDescent="0.25">
      <c r="B201" s="7"/>
      <c r="C201" s="80" t="str">
        <f t="shared" si="2"/>
        <v>Bogotá - Toca</v>
      </c>
      <c r="D201" s="81" t="s">
        <v>180</v>
      </c>
      <c r="E201" s="82" t="s">
        <v>35</v>
      </c>
      <c r="F201" s="43" t="s">
        <v>189</v>
      </c>
      <c r="G201" s="124" t="s">
        <v>3</v>
      </c>
      <c r="H201" s="34"/>
      <c r="I201" s="8"/>
    </row>
    <row r="202" spans="2:12" ht="32.25" customHeight="1" thickBot="1" x14ac:dyDescent="0.25">
      <c r="B202" s="7"/>
      <c r="C202" s="99" t="str">
        <f t="shared" si="2"/>
        <v>Bogotá - Tota</v>
      </c>
      <c r="D202" s="100" t="s">
        <v>180</v>
      </c>
      <c r="E202" s="101" t="s">
        <v>90</v>
      </c>
      <c r="F202" s="42" t="s">
        <v>189</v>
      </c>
      <c r="G202" s="64" t="s">
        <v>3</v>
      </c>
      <c r="H202" s="39"/>
      <c r="I202" s="8"/>
    </row>
    <row r="203" spans="2:12" ht="48.75" customHeight="1" x14ac:dyDescent="0.2">
      <c r="B203" s="7"/>
      <c r="C203" s="72" t="str">
        <f t="shared" si="2"/>
        <v>Bogotá - Tunja</v>
      </c>
      <c r="D203" s="73" t="s">
        <v>180</v>
      </c>
      <c r="E203" s="74" t="s">
        <v>4</v>
      </c>
      <c r="F203" s="38" t="s">
        <v>182</v>
      </c>
      <c r="G203" s="61" t="s">
        <v>3</v>
      </c>
      <c r="H203" s="38" t="s">
        <v>218</v>
      </c>
      <c r="I203" s="8"/>
    </row>
    <row r="204" spans="2:12" x14ac:dyDescent="0.2">
      <c r="B204" s="7"/>
      <c r="C204" s="72"/>
      <c r="D204" s="73"/>
      <c r="E204" s="74"/>
      <c r="F204" s="29" t="s">
        <v>186</v>
      </c>
      <c r="G204" s="62"/>
      <c r="H204" s="32"/>
      <c r="I204" s="8"/>
    </row>
    <row r="205" spans="2:12" ht="13.5" thickBot="1" x14ac:dyDescent="0.25">
      <c r="B205" s="7"/>
      <c r="C205" s="72"/>
      <c r="D205" s="73"/>
      <c r="E205" s="74"/>
      <c r="F205" s="37" t="s">
        <v>164</v>
      </c>
      <c r="G205" s="63"/>
      <c r="H205" s="29" t="s">
        <v>215</v>
      </c>
      <c r="I205" s="8"/>
    </row>
    <row r="206" spans="2:12" ht="39" customHeight="1" x14ac:dyDescent="0.2">
      <c r="B206" s="7"/>
      <c r="C206" s="69" t="str">
        <f t="shared" si="2"/>
        <v>Bogotá - Bucaramanga</v>
      </c>
      <c r="D206" s="70" t="s">
        <v>180</v>
      </c>
      <c r="E206" s="71" t="s">
        <v>9</v>
      </c>
      <c r="F206" s="28" t="s">
        <v>182</v>
      </c>
      <c r="G206" s="58" t="s">
        <v>93</v>
      </c>
      <c r="H206" s="31" t="s">
        <v>223</v>
      </c>
      <c r="I206" s="8"/>
    </row>
    <row r="207" spans="2:12" x14ac:dyDescent="0.2">
      <c r="B207" s="7"/>
      <c r="C207" s="72"/>
      <c r="D207" s="73"/>
      <c r="E207" s="74"/>
      <c r="F207" s="29" t="s">
        <v>171</v>
      </c>
      <c r="G207" s="59"/>
      <c r="H207" s="29" t="s">
        <v>234</v>
      </c>
      <c r="I207" s="8"/>
    </row>
    <row r="208" spans="2:12" x14ac:dyDescent="0.2">
      <c r="B208" s="7"/>
      <c r="C208" s="72"/>
      <c r="D208" s="73"/>
      <c r="E208" s="74"/>
      <c r="F208" s="29" t="s">
        <v>165</v>
      </c>
      <c r="G208" s="59"/>
      <c r="H208" s="32" t="s">
        <v>225</v>
      </c>
      <c r="I208" s="8"/>
    </row>
    <row r="209" spans="2:9" x14ac:dyDescent="0.2">
      <c r="B209" s="7"/>
      <c r="C209" s="72"/>
      <c r="D209" s="73"/>
      <c r="E209" s="74"/>
      <c r="F209" s="29" t="s">
        <v>178</v>
      </c>
      <c r="G209" s="59"/>
      <c r="H209" s="29" t="s">
        <v>225</v>
      </c>
      <c r="I209" s="8"/>
    </row>
    <row r="210" spans="2:9" ht="25.5" x14ac:dyDescent="0.2">
      <c r="B210" s="7"/>
      <c r="C210" s="72"/>
      <c r="D210" s="73"/>
      <c r="E210" s="74"/>
      <c r="F210" s="29" t="s">
        <v>127</v>
      </c>
      <c r="G210" s="59"/>
      <c r="H210" s="29" t="s">
        <v>241</v>
      </c>
      <c r="I210" s="8"/>
    </row>
    <row r="211" spans="2:9" ht="13.5" thickBot="1" x14ac:dyDescent="0.25">
      <c r="B211" s="7"/>
      <c r="C211" s="72"/>
      <c r="D211" s="73"/>
      <c r="E211" s="74"/>
      <c r="F211" s="37" t="s">
        <v>191</v>
      </c>
      <c r="G211" s="59"/>
      <c r="H211" s="37"/>
      <c r="I211" s="8"/>
    </row>
    <row r="212" spans="2:9" x14ac:dyDescent="0.2">
      <c r="B212" s="7"/>
      <c r="C212" s="69" t="str">
        <f t="shared" si="2"/>
        <v>Bogotá - Cucuta</v>
      </c>
      <c r="D212" s="70" t="s">
        <v>180</v>
      </c>
      <c r="E212" s="71" t="s">
        <v>94</v>
      </c>
      <c r="F212" s="28" t="s">
        <v>182</v>
      </c>
      <c r="G212" s="61" t="s">
        <v>95</v>
      </c>
      <c r="H212" s="31" t="s">
        <v>225</v>
      </c>
      <c r="I212" s="8"/>
    </row>
    <row r="213" spans="2:9" x14ac:dyDescent="0.2">
      <c r="B213" s="7"/>
      <c r="C213" s="72"/>
      <c r="D213" s="73"/>
      <c r="E213" s="74"/>
      <c r="F213" s="29" t="s">
        <v>171</v>
      </c>
      <c r="G213" s="62"/>
      <c r="H213" s="32" t="s">
        <v>229</v>
      </c>
      <c r="I213" s="8"/>
    </row>
    <row r="214" spans="2:9" x14ac:dyDescent="0.2">
      <c r="B214" s="7"/>
      <c r="C214" s="72"/>
      <c r="D214" s="73"/>
      <c r="E214" s="74"/>
      <c r="F214" s="29" t="s">
        <v>165</v>
      </c>
      <c r="G214" s="62"/>
      <c r="H214" s="32" t="s">
        <v>225</v>
      </c>
      <c r="I214" s="8"/>
    </row>
    <row r="215" spans="2:9" x14ac:dyDescent="0.2">
      <c r="B215" s="7"/>
      <c r="C215" s="72"/>
      <c r="D215" s="73"/>
      <c r="E215" s="74"/>
      <c r="F215" s="29" t="s">
        <v>178</v>
      </c>
      <c r="G215" s="62"/>
      <c r="H215" s="32" t="s">
        <v>225</v>
      </c>
      <c r="I215" s="8"/>
    </row>
    <row r="216" spans="2:9" ht="25.5" x14ac:dyDescent="0.2">
      <c r="B216" s="7"/>
      <c r="C216" s="72"/>
      <c r="D216" s="73"/>
      <c r="E216" s="74"/>
      <c r="F216" s="29" t="s">
        <v>127</v>
      </c>
      <c r="G216" s="62"/>
      <c r="H216" s="32" t="s">
        <v>241</v>
      </c>
      <c r="I216" s="8"/>
    </row>
    <row r="217" spans="2:9" ht="13.5" thickBot="1" x14ac:dyDescent="0.25">
      <c r="B217" s="7"/>
      <c r="C217" s="75"/>
      <c r="D217" s="76"/>
      <c r="E217" s="77"/>
      <c r="F217" s="30" t="s">
        <v>191</v>
      </c>
      <c r="G217" s="63"/>
      <c r="H217" s="33"/>
      <c r="I217" s="8"/>
    </row>
    <row r="218" spans="2:9" x14ac:dyDescent="0.2">
      <c r="B218" s="7"/>
      <c r="C218" s="69" t="str">
        <f t="shared" ref="C218:C266" si="3">CONCATENATE(D218," - ",E218)</f>
        <v>Bogotá - Santa Marta</v>
      </c>
      <c r="D218" s="70" t="s">
        <v>180</v>
      </c>
      <c r="E218" s="71" t="s">
        <v>20</v>
      </c>
      <c r="F218" s="28" t="s">
        <v>182</v>
      </c>
      <c r="G218" s="61" t="s">
        <v>95</v>
      </c>
      <c r="H218" s="32" t="s">
        <v>224</v>
      </c>
      <c r="I218" s="8"/>
    </row>
    <row r="219" spans="2:9" x14ac:dyDescent="0.2">
      <c r="B219" s="7"/>
      <c r="C219" s="72"/>
      <c r="D219" s="73"/>
      <c r="E219" s="74"/>
      <c r="F219" s="29" t="s">
        <v>171</v>
      </c>
      <c r="G219" s="62"/>
      <c r="H219" s="32" t="s">
        <v>233</v>
      </c>
      <c r="I219" s="8"/>
    </row>
    <row r="220" spans="2:9" x14ac:dyDescent="0.2">
      <c r="B220" s="7"/>
      <c r="C220" s="72"/>
      <c r="D220" s="73"/>
      <c r="E220" s="74"/>
      <c r="F220" s="29" t="s">
        <v>165</v>
      </c>
      <c r="G220" s="62"/>
      <c r="H220" s="32" t="s">
        <v>224</v>
      </c>
      <c r="I220" s="8"/>
    </row>
    <row r="221" spans="2:9" x14ac:dyDescent="0.2">
      <c r="B221" s="7"/>
      <c r="C221" s="72"/>
      <c r="D221" s="73"/>
      <c r="E221" s="74"/>
      <c r="F221" s="29" t="s">
        <v>178</v>
      </c>
      <c r="G221" s="62"/>
      <c r="H221" s="32" t="s">
        <v>226</v>
      </c>
      <c r="I221" s="8"/>
    </row>
    <row r="222" spans="2:9" ht="25.5" x14ac:dyDescent="0.2">
      <c r="B222" s="7"/>
      <c r="C222" s="72"/>
      <c r="D222" s="73"/>
      <c r="E222" s="74"/>
      <c r="F222" s="29" t="s">
        <v>127</v>
      </c>
      <c r="G222" s="62"/>
      <c r="H222" s="32" t="s">
        <v>241</v>
      </c>
      <c r="I222" s="8"/>
    </row>
    <row r="223" spans="2:9" ht="13.5" thickBot="1" x14ac:dyDescent="0.25">
      <c r="B223" s="7"/>
      <c r="C223" s="75"/>
      <c r="D223" s="76"/>
      <c r="E223" s="77"/>
      <c r="F223" s="30" t="s">
        <v>191</v>
      </c>
      <c r="G223" s="63"/>
      <c r="H223" s="33"/>
      <c r="I223" s="8"/>
    </row>
    <row r="224" spans="2:9" x14ac:dyDescent="0.2">
      <c r="B224" s="7"/>
      <c r="C224" s="72" t="str">
        <f t="shared" si="3"/>
        <v>Bogotá - Cartagena</v>
      </c>
      <c r="D224" s="73" t="s">
        <v>180</v>
      </c>
      <c r="E224" s="74" t="s">
        <v>21</v>
      </c>
      <c r="F224" s="38" t="s">
        <v>182</v>
      </c>
      <c r="G224" s="61" t="s">
        <v>95</v>
      </c>
      <c r="H224" s="32" t="s">
        <v>224</v>
      </c>
      <c r="I224" s="8"/>
    </row>
    <row r="225" spans="2:9" x14ac:dyDescent="0.2">
      <c r="B225" s="7"/>
      <c r="C225" s="72"/>
      <c r="D225" s="73"/>
      <c r="E225" s="74"/>
      <c r="F225" s="29" t="s">
        <v>171</v>
      </c>
      <c r="G225" s="62"/>
      <c r="H225" s="32" t="s">
        <v>233</v>
      </c>
      <c r="I225" s="8"/>
    </row>
    <row r="226" spans="2:9" x14ac:dyDescent="0.2">
      <c r="B226" s="7"/>
      <c r="C226" s="72"/>
      <c r="D226" s="73"/>
      <c r="E226" s="74"/>
      <c r="F226" s="29" t="s">
        <v>165</v>
      </c>
      <c r="G226" s="62"/>
      <c r="H226" s="32" t="s">
        <v>224</v>
      </c>
      <c r="I226" s="8"/>
    </row>
    <row r="227" spans="2:9" x14ac:dyDescent="0.2">
      <c r="B227" s="7"/>
      <c r="C227" s="72"/>
      <c r="D227" s="73"/>
      <c r="E227" s="74"/>
      <c r="F227" s="29" t="s">
        <v>178</v>
      </c>
      <c r="G227" s="62"/>
      <c r="H227" s="32" t="s">
        <v>226</v>
      </c>
      <c r="I227" s="8"/>
    </row>
    <row r="228" spans="2:9" ht="25.5" x14ac:dyDescent="0.2">
      <c r="B228" s="7"/>
      <c r="C228" s="72"/>
      <c r="D228" s="73"/>
      <c r="E228" s="74"/>
      <c r="F228" s="29" t="s">
        <v>127</v>
      </c>
      <c r="G228" s="62"/>
      <c r="H228" s="32" t="s">
        <v>241</v>
      </c>
      <c r="I228" s="8"/>
    </row>
    <row r="229" spans="2:9" ht="13.5" thickBot="1" x14ac:dyDescent="0.25">
      <c r="B229" s="7"/>
      <c r="C229" s="72"/>
      <c r="D229" s="73"/>
      <c r="E229" s="74"/>
      <c r="F229" s="37" t="s">
        <v>191</v>
      </c>
      <c r="G229" s="63"/>
      <c r="H229" s="44"/>
      <c r="I229" s="8"/>
    </row>
    <row r="230" spans="2:9" x14ac:dyDescent="0.2">
      <c r="B230" s="7"/>
      <c r="C230" s="69" t="str">
        <f t="shared" si="3"/>
        <v>Bogotá - El Banco</v>
      </c>
      <c r="D230" s="70" t="s">
        <v>180</v>
      </c>
      <c r="E230" s="71" t="s">
        <v>26</v>
      </c>
      <c r="F230" s="28" t="s">
        <v>171</v>
      </c>
      <c r="G230" s="61" t="s">
        <v>104</v>
      </c>
      <c r="H230" s="31" t="s">
        <v>232</v>
      </c>
      <c r="I230" s="8"/>
    </row>
    <row r="231" spans="2:9" ht="26.25" thickBot="1" x14ac:dyDescent="0.25">
      <c r="B231" s="7"/>
      <c r="C231" s="75"/>
      <c r="D231" s="76"/>
      <c r="E231" s="77"/>
      <c r="F231" s="30" t="s">
        <v>127</v>
      </c>
      <c r="G231" s="63"/>
      <c r="H231" s="33" t="s">
        <v>241</v>
      </c>
      <c r="I231" s="8"/>
    </row>
    <row r="232" spans="2:9" ht="27" customHeight="1" x14ac:dyDescent="0.2">
      <c r="B232" s="7"/>
      <c r="C232" s="72" t="str">
        <f t="shared" si="3"/>
        <v>Bogotá - Guamal</v>
      </c>
      <c r="D232" s="73" t="s">
        <v>180</v>
      </c>
      <c r="E232" s="74" t="s">
        <v>10</v>
      </c>
      <c r="F232" s="38" t="s">
        <v>171</v>
      </c>
      <c r="G232" s="61" t="s">
        <v>105</v>
      </c>
      <c r="H232" s="36" t="s">
        <v>231</v>
      </c>
      <c r="I232" s="8"/>
    </row>
    <row r="233" spans="2:9" ht="25.5" x14ac:dyDescent="0.2">
      <c r="B233" s="7"/>
      <c r="C233" s="72"/>
      <c r="D233" s="73"/>
      <c r="E233" s="74"/>
      <c r="F233" s="29" t="s">
        <v>127</v>
      </c>
      <c r="G233" s="62"/>
      <c r="H233" s="32" t="s">
        <v>241</v>
      </c>
      <c r="I233" s="8"/>
    </row>
    <row r="234" spans="2:9" ht="13.5" thickBot="1" x14ac:dyDescent="0.25">
      <c r="B234" s="7"/>
      <c r="C234" s="72"/>
      <c r="D234" s="73"/>
      <c r="E234" s="74"/>
      <c r="F234" s="37" t="s">
        <v>176</v>
      </c>
      <c r="G234" s="63"/>
      <c r="H234" s="44"/>
      <c r="I234" s="8"/>
    </row>
    <row r="235" spans="2:9" ht="13.5" thickBot="1" x14ac:dyDescent="0.25">
      <c r="B235" s="7"/>
      <c r="C235" s="99" t="str">
        <f t="shared" si="3"/>
        <v>Bogotá - Moniquira</v>
      </c>
      <c r="D235" s="100" t="s">
        <v>180</v>
      </c>
      <c r="E235" s="101" t="s">
        <v>27</v>
      </c>
      <c r="F235" s="42" t="s">
        <v>108</v>
      </c>
      <c r="G235" s="64" t="s">
        <v>4</v>
      </c>
      <c r="H235" s="39" t="s">
        <v>236</v>
      </c>
      <c r="I235" s="8"/>
    </row>
    <row r="236" spans="2:9" ht="13.5" thickBot="1" x14ac:dyDescent="0.25">
      <c r="B236" s="7"/>
      <c r="C236" s="102" t="str">
        <f t="shared" si="3"/>
        <v>Bogotá - Puente Nacional</v>
      </c>
      <c r="D236" s="103" t="s">
        <v>180</v>
      </c>
      <c r="E236" s="104" t="s">
        <v>36</v>
      </c>
      <c r="F236" s="40" t="s">
        <v>108</v>
      </c>
      <c r="G236" s="67" t="s">
        <v>109</v>
      </c>
      <c r="H236" s="45" t="s">
        <v>236</v>
      </c>
      <c r="I236" s="8"/>
    </row>
    <row r="237" spans="2:9" ht="27.75" customHeight="1" x14ac:dyDescent="0.2">
      <c r="B237" s="7"/>
      <c r="C237" s="69" t="str">
        <f t="shared" si="3"/>
        <v>Bogotá - Villa de Leyva</v>
      </c>
      <c r="D237" s="70" t="s">
        <v>180</v>
      </c>
      <c r="E237" s="71" t="s">
        <v>159</v>
      </c>
      <c r="F237" s="28" t="s">
        <v>112</v>
      </c>
      <c r="G237" s="61" t="s">
        <v>4</v>
      </c>
      <c r="H237" s="31" t="s">
        <v>239</v>
      </c>
      <c r="I237" s="8"/>
    </row>
    <row r="238" spans="2:9" ht="13.5" thickBot="1" x14ac:dyDescent="0.25">
      <c r="B238" s="7"/>
      <c r="C238" s="75"/>
      <c r="D238" s="76"/>
      <c r="E238" s="77"/>
      <c r="F238" s="30" t="s">
        <v>194</v>
      </c>
      <c r="G238" s="63"/>
      <c r="H238" s="33"/>
      <c r="I238" s="8"/>
    </row>
    <row r="239" spans="2:9" ht="13.5" thickBot="1" x14ac:dyDescent="0.25">
      <c r="B239" s="7"/>
      <c r="C239" s="114" t="str">
        <f t="shared" si="3"/>
        <v>Bogotá - Gambita</v>
      </c>
      <c r="D239" s="115" t="s">
        <v>180</v>
      </c>
      <c r="E239" s="122" t="s">
        <v>113</v>
      </c>
      <c r="F239" s="41" t="s">
        <v>112</v>
      </c>
      <c r="G239" s="68" t="s">
        <v>4</v>
      </c>
      <c r="H239" s="31" t="s">
        <v>239</v>
      </c>
      <c r="I239" s="8"/>
    </row>
    <row r="240" spans="2:9" ht="12.75" customHeight="1" thickBot="1" x14ac:dyDescent="0.25">
      <c r="B240" s="7"/>
      <c r="C240" s="80" t="str">
        <f t="shared" si="3"/>
        <v>Bogotá - Bucaramanga</v>
      </c>
      <c r="D240" s="81" t="s">
        <v>180</v>
      </c>
      <c r="E240" s="82" t="s">
        <v>9</v>
      </c>
      <c r="F240" s="43" t="s">
        <v>191</v>
      </c>
      <c r="G240" s="124" t="s">
        <v>5</v>
      </c>
      <c r="H240" s="46"/>
      <c r="I240" s="8"/>
    </row>
    <row r="241" spans="2:9" x14ac:dyDescent="0.2">
      <c r="B241" s="7"/>
      <c r="C241" s="69" t="str">
        <f t="shared" si="3"/>
        <v>Bogotá - Ocaña</v>
      </c>
      <c r="D241" s="70" t="s">
        <v>180</v>
      </c>
      <c r="E241" s="71" t="s">
        <v>125</v>
      </c>
      <c r="F241" s="28" t="s">
        <v>182</v>
      </c>
      <c r="G241" s="61" t="s">
        <v>126</v>
      </c>
      <c r="H241" s="31"/>
      <c r="I241" s="8"/>
    </row>
    <row r="242" spans="2:9" x14ac:dyDescent="0.2">
      <c r="B242" s="7"/>
      <c r="C242" s="72"/>
      <c r="D242" s="73"/>
      <c r="E242" s="74"/>
      <c r="F242" s="29" t="s">
        <v>171</v>
      </c>
      <c r="G242" s="62"/>
      <c r="H242" s="32" t="s">
        <v>229</v>
      </c>
      <c r="I242" s="8"/>
    </row>
    <row r="243" spans="2:9" ht="26.25" thickBot="1" x14ac:dyDescent="0.25">
      <c r="B243" s="7"/>
      <c r="C243" s="75"/>
      <c r="D243" s="76"/>
      <c r="E243" s="77"/>
      <c r="F243" s="30" t="s">
        <v>127</v>
      </c>
      <c r="G243" s="63"/>
      <c r="H243" s="33" t="s">
        <v>241</v>
      </c>
      <c r="I243" s="8"/>
    </row>
    <row r="244" spans="2:9" ht="26.25" thickBot="1" x14ac:dyDescent="0.25">
      <c r="B244" s="7"/>
      <c r="C244" s="80" t="str">
        <f t="shared" si="3"/>
        <v>Bogotá - Puerto Berrio</v>
      </c>
      <c r="D244" s="81" t="s">
        <v>180</v>
      </c>
      <c r="E244" s="120" t="s">
        <v>106</v>
      </c>
      <c r="F244" s="43" t="s">
        <v>127</v>
      </c>
      <c r="G244" s="124" t="s">
        <v>4</v>
      </c>
      <c r="H244" s="34" t="s">
        <v>241</v>
      </c>
      <c r="I244" s="8"/>
    </row>
    <row r="245" spans="2:9" ht="26.25" thickBot="1" x14ac:dyDescent="0.25">
      <c r="B245" s="7"/>
      <c r="C245" s="99" t="str">
        <f t="shared" si="3"/>
        <v>Bogotá - Chitaraque</v>
      </c>
      <c r="D245" s="100" t="s">
        <v>180</v>
      </c>
      <c r="E245" s="118" t="s">
        <v>12</v>
      </c>
      <c r="F245" s="42" t="s">
        <v>127</v>
      </c>
      <c r="G245" s="64" t="s">
        <v>4</v>
      </c>
      <c r="H245" s="39" t="s">
        <v>241</v>
      </c>
      <c r="I245" s="8"/>
    </row>
    <row r="246" spans="2:9" ht="26.25" thickBot="1" x14ac:dyDescent="0.25">
      <c r="B246" s="7"/>
      <c r="C246" s="80" t="str">
        <f t="shared" si="3"/>
        <v>Bogotá - Santa Sofia</v>
      </c>
      <c r="D246" s="81" t="s">
        <v>180</v>
      </c>
      <c r="E246" s="82" t="s">
        <v>34</v>
      </c>
      <c r="F246" s="43" t="s">
        <v>127</v>
      </c>
      <c r="G246" s="124" t="s">
        <v>4</v>
      </c>
      <c r="H246" s="34" t="s">
        <v>241</v>
      </c>
      <c r="I246" s="8"/>
    </row>
    <row r="247" spans="2:9" ht="26.25" thickBot="1" x14ac:dyDescent="0.25">
      <c r="B247" s="7"/>
      <c r="C247" s="99" t="str">
        <f t="shared" si="3"/>
        <v>Bogotá - Togui</v>
      </c>
      <c r="D247" s="100" t="s">
        <v>180</v>
      </c>
      <c r="E247" s="101" t="s">
        <v>128</v>
      </c>
      <c r="F247" s="42" t="s">
        <v>127</v>
      </c>
      <c r="G247" s="64" t="s">
        <v>4</v>
      </c>
      <c r="H247" s="39" t="s">
        <v>241</v>
      </c>
      <c r="I247" s="8"/>
    </row>
    <row r="248" spans="2:9" ht="26.25" thickBot="1" x14ac:dyDescent="0.25">
      <c r="B248" s="7"/>
      <c r="C248" s="80" t="str">
        <f t="shared" si="3"/>
        <v>Bogotá - Barrancabermeja</v>
      </c>
      <c r="D248" s="81" t="s">
        <v>180</v>
      </c>
      <c r="E248" s="82" t="s">
        <v>129</v>
      </c>
      <c r="F248" s="43" t="s">
        <v>127</v>
      </c>
      <c r="G248" s="124" t="s">
        <v>4</v>
      </c>
      <c r="H248" s="34" t="s">
        <v>241</v>
      </c>
      <c r="I248" s="8"/>
    </row>
    <row r="249" spans="2:9" ht="26.25" thickBot="1" x14ac:dyDescent="0.25">
      <c r="B249" s="7"/>
      <c r="C249" s="99" t="str">
        <f t="shared" si="3"/>
        <v>Bogotá - Cimitarra</v>
      </c>
      <c r="D249" s="100" t="s">
        <v>180</v>
      </c>
      <c r="E249" s="101" t="s">
        <v>47</v>
      </c>
      <c r="F249" s="42" t="s">
        <v>127</v>
      </c>
      <c r="G249" s="64" t="s">
        <v>4</v>
      </c>
      <c r="H249" s="39" t="s">
        <v>241</v>
      </c>
      <c r="I249" s="8"/>
    </row>
    <row r="250" spans="2:9" ht="26.25" thickBot="1" x14ac:dyDescent="0.25">
      <c r="B250" s="7"/>
      <c r="C250" s="80" t="str">
        <f t="shared" si="3"/>
        <v>Bogotá - Guadalupe</v>
      </c>
      <c r="D250" s="81" t="s">
        <v>180</v>
      </c>
      <c r="E250" s="82" t="s">
        <v>130</v>
      </c>
      <c r="F250" s="43" t="s">
        <v>127</v>
      </c>
      <c r="G250" s="124" t="s">
        <v>4</v>
      </c>
      <c r="H250" s="34" t="s">
        <v>241</v>
      </c>
      <c r="I250" s="8"/>
    </row>
    <row r="251" spans="2:9" ht="26.25" thickBot="1" x14ac:dyDescent="0.25">
      <c r="B251" s="7"/>
      <c r="C251" s="99" t="str">
        <f t="shared" si="3"/>
        <v>Bogotá - Suaita</v>
      </c>
      <c r="D251" s="100" t="s">
        <v>180</v>
      </c>
      <c r="E251" s="101" t="s">
        <v>131</v>
      </c>
      <c r="F251" s="42" t="s">
        <v>127</v>
      </c>
      <c r="G251" s="64" t="s">
        <v>4</v>
      </c>
      <c r="H251" s="39" t="s">
        <v>241</v>
      </c>
      <c r="I251" s="8"/>
    </row>
    <row r="252" spans="2:9" ht="26.25" thickBot="1" x14ac:dyDescent="0.25">
      <c r="B252" s="7"/>
      <c r="C252" s="80" t="str">
        <f t="shared" si="3"/>
        <v>Bogotá - Velez</v>
      </c>
      <c r="D252" s="81" t="s">
        <v>180</v>
      </c>
      <c r="E252" s="82" t="s">
        <v>132</v>
      </c>
      <c r="F252" s="43" t="s">
        <v>127</v>
      </c>
      <c r="G252" s="124" t="s">
        <v>4</v>
      </c>
      <c r="H252" s="34" t="s">
        <v>241</v>
      </c>
      <c r="I252" s="8"/>
    </row>
    <row r="253" spans="2:9" ht="12.75" customHeight="1" x14ac:dyDescent="0.2">
      <c r="B253" s="7"/>
      <c r="C253" s="69" t="str">
        <f t="shared" si="3"/>
        <v>Bogotá - Miraflores</v>
      </c>
      <c r="D253" s="70" t="s">
        <v>180</v>
      </c>
      <c r="E253" s="71" t="s">
        <v>133</v>
      </c>
      <c r="F253" s="28" t="s">
        <v>189</v>
      </c>
      <c r="G253" s="61" t="s">
        <v>4</v>
      </c>
      <c r="H253" s="28"/>
      <c r="I253" s="8"/>
    </row>
    <row r="254" spans="2:9" ht="12.75" customHeight="1" thickBot="1" x14ac:dyDescent="0.25">
      <c r="B254" s="7"/>
      <c r="C254" s="75"/>
      <c r="D254" s="76"/>
      <c r="E254" s="77"/>
      <c r="F254" s="30" t="s">
        <v>191</v>
      </c>
      <c r="G254" s="63"/>
      <c r="H254" s="33"/>
      <c r="I254" s="8"/>
    </row>
    <row r="255" spans="2:9" ht="12.75" customHeight="1" x14ac:dyDescent="0.2">
      <c r="B255" s="7"/>
      <c r="C255" s="72" t="str">
        <f t="shared" si="3"/>
        <v>Bogotá - Paez</v>
      </c>
      <c r="D255" s="73" t="s">
        <v>180</v>
      </c>
      <c r="E255" s="74" t="s">
        <v>134</v>
      </c>
      <c r="F255" s="38" t="s">
        <v>189</v>
      </c>
      <c r="G255" s="61" t="s">
        <v>141</v>
      </c>
      <c r="H255" s="36"/>
      <c r="I255" s="8"/>
    </row>
    <row r="256" spans="2:9" ht="12.75" customHeight="1" thickBot="1" x14ac:dyDescent="0.25">
      <c r="B256" s="7"/>
      <c r="C256" s="72"/>
      <c r="D256" s="73"/>
      <c r="E256" s="74"/>
      <c r="F256" s="37" t="s">
        <v>191</v>
      </c>
      <c r="G256" s="63"/>
      <c r="H256" s="44"/>
      <c r="I256" s="8"/>
    </row>
    <row r="257" spans="2:9" ht="13.5" thickBot="1" x14ac:dyDescent="0.25">
      <c r="B257" s="7"/>
      <c r="C257" s="99" t="str">
        <f t="shared" si="3"/>
        <v>Bogotá - Cienega</v>
      </c>
      <c r="D257" s="100" t="s">
        <v>180</v>
      </c>
      <c r="E257" s="101" t="s">
        <v>59</v>
      </c>
      <c r="F257" s="42" t="s">
        <v>191</v>
      </c>
      <c r="G257" s="64" t="s">
        <v>4</v>
      </c>
      <c r="H257" s="39"/>
      <c r="I257" s="8"/>
    </row>
    <row r="258" spans="2:9" ht="13.5" thickBot="1" x14ac:dyDescent="0.25">
      <c r="B258" s="7"/>
      <c r="C258" s="80" t="str">
        <f t="shared" si="3"/>
        <v>Bogotá - San Eduardo</v>
      </c>
      <c r="D258" s="81" t="s">
        <v>180</v>
      </c>
      <c r="E258" s="82" t="s">
        <v>142</v>
      </c>
      <c r="F258" s="43" t="s">
        <v>191</v>
      </c>
      <c r="G258" s="124" t="s">
        <v>141</v>
      </c>
      <c r="H258" s="34"/>
      <c r="I258" s="8"/>
    </row>
    <row r="259" spans="2:9" ht="13.5" thickBot="1" x14ac:dyDescent="0.25">
      <c r="B259" s="7"/>
      <c r="C259" s="99" t="str">
        <f t="shared" si="3"/>
        <v>Bogotá - Arauca</v>
      </c>
      <c r="D259" s="100" t="s">
        <v>180</v>
      </c>
      <c r="E259" s="101" t="s">
        <v>11</v>
      </c>
      <c r="F259" s="42" t="s">
        <v>192</v>
      </c>
      <c r="G259" s="64" t="s">
        <v>29</v>
      </c>
      <c r="H259" s="39"/>
      <c r="I259" s="8"/>
    </row>
    <row r="260" spans="2:9" ht="13.5" thickBot="1" x14ac:dyDescent="0.25">
      <c r="B260" s="7"/>
      <c r="C260" s="80" t="str">
        <f t="shared" si="3"/>
        <v>Bogotá - Saravena</v>
      </c>
      <c r="D260" s="81" t="s">
        <v>180</v>
      </c>
      <c r="E260" s="82" t="s">
        <v>18</v>
      </c>
      <c r="F260" s="43" t="s">
        <v>192</v>
      </c>
      <c r="G260" s="124" t="s">
        <v>146</v>
      </c>
      <c r="H260" s="34"/>
      <c r="I260" s="8"/>
    </row>
    <row r="261" spans="2:9" ht="13.5" thickBot="1" x14ac:dyDescent="0.25">
      <c r="B261" s="7"/>
      <c r="C261" s="99" t="str">
        <f t="shared" si="3"/>
        <v>Bogotá - Tunja</v>
      </c>
      <c r="D261" s="100" t="s">
        <v>180</v>
      </c>
      <c r="E261" s="101" t="s">
        <v>4</v>
      </c>
      <c r="F261" s="42" t="s">
        <v>173</v>
      </c>
      <c r="G261" s="64" t="s">
        <v>238</v>
      </c>
      <c r="H261" s="39" t="s">
        <v>237</v>
      </c>
      <c r="I261" s="8"/>
    </row>
    <row r="262" spans="2:9" ht="13.5" thickBot="1" x14ac:dyDescent="0.25">
      <c r="B262" s="7"/>
      <c r="C262" s="99" t="str">
        <f t="shared" si="3"/>
        <v>Bucaramanga - Sogamoso</v>
      </c>
      <c r="D262" s="100" t="s">
        <v>9</v>
      </c>
      <c r="E262" s="101" t="s">
        <v>33</v>
      </c>
      <c r="F262" s="42" t="s">
        <v>171</v>
      </c>
      <c r="G262" s="64" t="s">
        <v>103</v>
      </c>
      <c r="H262" s="39" t="s">
        <v>230</v>
      </c>
      <c r="I262" s="8"/>
    </row>
    <row r="263" spans="2:9" ht="13.5" thickBot="1" x14ac:dyDescent="0.25">
      <c r="B263" s="7"/>
      <c r="C263" s="80" t="str">
        <f t="shared" si="3"/>
        <v>Puerto Berrio - Bogota</v>
      </c>
      <c r="D263" s="81" t="s">
        <v>106</v>
      </c>
      <c r="E263" s="82" t="s">
        <v>15</v>
      </c>
      <c r="F263" s="43" t="s">
        <v>171</v>
      </c>
      <c r="G263" s="124" t="s">
        <v>107</v>
      </c>
      <c r="H263" s="34" t="s">
        <v>229</v>
      </c>
      <c r="I263" s="8"/>
    </row>
    <row r="264" spans="2:9" ht="13.5" thickBot="1" x14ac:dyDescent="0.25">
      <c r="B264" s="7"/>
      <c r="C264" s="99" t="str">
        <f t="shared" si="3"/>
        <v>Yopal - Bogota</v>
      </c>
      <c r="D264" s="100" t="s">
        <v>13</v>
      </c>
      <c r="E264" s="101" t="s">
        <v>15</v>
      </c>
      <c r="F264" s="42" t="s">
        <v>192</v>
      </c>
      <c r="G264" s="64" t="s">
        <v>147</v>
      </c>
      <c r="H264" s="39"/>
      <c r="I264" s="8"/>
    </row>
    <row r="265" spans="2:9" ht="13.5" thickBot="1" x14ac:dyDescent="0.25">
      <c r="B265" s="7"/>
      <c r="C265" s="80" t="str">
        <f t="shared" si="3"/>
        <v>Yopal - Sogamoso</v>
      </c>
      <c r="D265" s="81" t="s">
        <v>13</v>
      </c>
      <c r="E265" s="82" t="s">
        <v>33</v>
      </c>
      <c r="F265" s="43" t="s">
        <v>192</v>
      </c>
      <c r="G265" s="124" t="s">
        <v>148</v>
      </c>
      <c r="H265" s="34"/>
      <c r="I265" s="8"/>
    </row>
    <row r="266" spans="2:9" ht="13.5" thickBot="1" x14ac:dyDescent="0.25">
      <c r="B266" s="7"/>
      <c r="C266" s="99" t="str">
        <f t="shared" si="3"/>
        <v>Aguazul - Bogota</v>
      </c>
      <c r="D266" s="100" t="s">
        <v>14</v>
      </c>
      <c r="E266" s="101" t="s">
        <v>15</v>
      </c>
      <c r="F266" s="42" t="s">
        <v>192</v>
      </c>
      <c r="G266" s="64" t="s">
        <v>149</v>
      </c>
      <c r="H266" s="39"/>
      <c r="I266" s="8"/>
    </row>
    <row r="267" spans="2:9" ht="13.5" thickBot="1" x14ac:dyDescent="0.25">
      <c r="B267" s="9"/>
      <c r="C267" s="10"/>
      <c r="D267" s="12"/>
      <c r="E267" s="12"/>
      <c r="F267" s="10"/>
      <c r="G267" s="10"/>
      <c r="H267" s="10"/>
      <c r="I267" s="11"/>
    </row>
  </sheetData>
  <autoFilter ref="C3:H266" xr:uid="{18BBC4F2-E0B3-4A15-B25A-424312E6DDA8}"/>
  <mergeCells count="215">
    <mergeCell ref="G212:G217"/>
    <mergeCell ref="G218:G223"/>
    <mergeCell ref="G224:G229"/>
    <mergeCell ref="G230:G231"/>
    <mergeCell ref="G232:G234"/>
    <mergeCell ref="G237:G238"/>
    <mergeCell ref="G241:G243"/>
    <mergeCell ref="G253:G254"/>
    <mergeCell ref="G255:G256"/>
    <mergeCell ref="G175:G176"/>
    <mergeCell ref="G178:G179"/>
    <mergeCell ref="G181:G182"/>
    <mergeCell ref="G185:G186"/>
    <mergeCell ref="G191:G193"/>
    <mergeCell ref="G194:G195"/>
    <mergeCell ref="G199:G200"/>
    <mergeCell ref="G203:G205"/>
    <mergeCell ref="G206:G211"/>
    <mergeCell ref="E171:E173"/>
    <mergeCell ref="D171:D173"/>
    <mergeCell ref="C171:C173"/>
    <mergeCell ref="G87:G93"/>
    <mergeCell ref="G94:G98"/>
    <mergeCell ref="G99:G103"/>
    <mergeCell ref="G104:G105"/>
    <mergeCell ref="G106:G107"/>
    <mergeCell ref="G112:G113"/>
    <mergeCell ref="G115:G116"/>
    <mergeCell ref="G120:G124"/>
    <mergeCell ref="G126:G127"/>
    <mergeCell ref="G131:G132"/>
    <mergeCell ref="G151:G153"/>
    <mergeCell ref="G154:G155"/>
    <mergeCell ref="G157:G158"/>
    <mergeCell ref="G159:G160"/>
    <mergeCell ref="G161:G162"/>
    <mergeCell ref="G165:G168"/>
    <mergeCell ref="G163:G164"/>
    <mergeCell ref="G171:G173"/>
    <mergeCell ref="E87:E93"/>
    <mergeCell ref="D87:D93"/>
    <mergeCell ref="C87:C93"/>
    <mergeCell ref="E241:E243"/>
    <mergeCell ref="D241:D243"/>
    <mergeCell ref="C241:C243"/>
    <mergeCell ref="E253:E254"/>
    <mergeCell ref="D253:D254"/>
    <mergeCell ref="C253:C254"/>
    <mergeCell ref="E255:E256"/>
    <mergeCell ref="D255:D256"/>
    <mergeCell ref="C255:C256"/>
    <mergeCell ref="E230:E231"/>
    <mergeCell ref="D230:D231"/>
    <mergeCell ref="C230:C231"/>
    <mergeCell ref="E232:E234"/>
    <mergeCell ref="D232:D234"/>
    <mergeCell ref="C232:C234"/>
    <mergeCell ref="E237:E238"/>
    <mergeCell ref="D237:D238"/>
    <mergeCell ref="C237:C238"/>
    <mergeCell ref="E212:E217"/>
    <mergeCell ref="D212:D217"/>
    <mergeCell ref="C212:C217"/>
    <mergeCell ref="E218:E223"/>
    <mergeCell ref="D218:D223"/>
    <mergeCell ref="C218:C223"/>
    <mergeCell ref="E224:E229"/>
    <mergeCell ref="D224:D229"/>
    <mergeCell ref="C224:C229"/>
    <mergeCell ref="E199:E200"/>
    <mergeCell ref="D199:D200"/>
    <mergeCell ref="C199:C200"/>
    <mergeCell ref="E203:E205"/>
    <mergeCell ref="D203:D205"/>
    <mergeCell ref="C203:C205"/>
    <mergeCell ref="E206:E211"/>
    <mergeCell ref="D206:D211"/>
    <mergeCell ref="C206:C211"/>
    <mergeCell ref="E185:E186"/>
    <mergeCell ref="D185:D186"/>
    <mergeCell ref="C185:C186"/>
    <mergeCell ref="E191:E193"/>
    <mergeCell ref="D191:D193"/>
    <mergeCell ref="C191:C193"/>
    <mergeCell ref="E194:E195"/>
    <mergeCell ref="D194:D195"/>
    <mergeCell ref="C194:C195"/>
    <mergeCell ref="E175:E176"/>
    <mergeCell ref="D175:D176"/>
    <mergeCell ref="C175:C176"/>
    <mergeCell ref="E178:E179"/>
    <mergeCell ref="D178:D179"/>
    <mergeCell ref="C178:C179"/>
    <mergeCell ref="E181:E182"/>
    <mergeCell ref="D181:D182"/>
    <mergeCell ref="C181:C182"/>
    <mergeCell ref="G60:G64"/>
    <mergeCell ref="E60:E64"/>
    <mergeCell ref="D60:D64"/>
    <mergeCell ref="C60:C64"/>
    <mergeCell ref="E56:E59"/>
    <mergeCell ref="D56:D59"/>
    <mergeCell ref="C56:C59"/>
    <mergeCell ref="G56:G59"/>
    <mergeCell ref="G50:G55"/>
    <mergeCell ref="E50:E55"/>
    <mergeCell ref="D50:D55"/>
    <mergeCell ref="C50:C55"/>
    <mergeCell ref="D44:D49"/>
    <mergeCell ref="C44:C49"/>
    <mergeCell ref="G44:G49"/>
    <mergeCell ref="G18:G19"/>
    <mergeCell ref="E18:E19"/>
    <mergeCell ref="D18:D19"/>
    <mergeCell ref="F37:F38"/>
    <mergeCell ref="G37:G43"/>
    <mergeCell ref="E37:E43"/>
    <mergeCell ref="D37:D43"/>
    <mergeCell ref="C37:C43"/>
    <mergeCell ref="E29:E36"/>
    <mergeCell ref="D29:D36"/>
    <mergeCell ref="C29:C36"/>
    <mergeCell ref="G29:G36"/>
    <mergeCell ref="F29:F30"/>
    <mergeCell ref="G65:G67"/>
    <mergeCell ref="E65:E67"/>
    <mergeCell ref="D65:D67"/>
    <mergeCell ref="C65:C67"/>
    <mergeCell ref="C4:C7"/>
    <mergeCell ref="G4:G7"/>
    <mergeCell ref="C8:C12"/>
    <mergeCell ref="E14:E17"/>
    <mergeCell ref="D14:D17"/>
    <mergeCell ref="C14:C17"/>
    <mergeCell ref="G14:G17"/>
    <mergeCell ref="F8:F9"/>
    <mergeCell ref="G8:G12"/>
    <mergeCell ref="E8:E12"/>
    <mergeCell ref="D8:D12"/>
    <mergeCell ref="D4:D7"/>
    <mergeCell ref="E4:E7"/>
    <mergeCell ref="C18:C19"/>
    <mergeCell ref="E20:E28"/>
    <mergeCell ref="D20:D28"/>
    <mergeCell ref="C20:C28"/>
    <mergeCell ref="G20:G28"/>
    <mergeCell ref="F20:F21"/>
    <mergeCell ref="E44:E49"/>
    <mergeCell ref="G76:G80"/>
    <mergeCell ref="E76:E80"/>
    <mergeCell ref="D76:D80"/>
    <mergeCell ref="C76:C80"/>
    <mergeCell ref="F68:F69"/>
    <mergeCell ref="G68:G75"/>
    <mergeCell ref="E68:E75"/>
    <mergeCell ref="D68:D75"/>
    <mergeCell ref="C68:C75"/>
    <mergeCell ref="G82:G86"/>
    <mergeCell ref="E82:E86"/>
    <mergeCell ref="D82:D86"/>
    <mergeCell ref="C82:C86"/>
    <mergeCell ref="E104:E105"/>
    <mergeCell ref="D104:D105"/>
    <mergeCell ref="C104:C105"/>
    <mergeCell ref="E106:E107"/>
    <mergeCell ref="D106:D107"/>
    <mergeCell ref="C106:C107"/>
    <mergeCell ref="E94:E98"/>
    <mergeCell ref="D94:D98"/>
    <mergeCell ref="C94:C98"/>
    <mergeCell ref="E99:E103"/>
    <mergeCell ref="D99:D103"/>
    <mergeCell ref="C99:C103"/>
    <mergeCell ref="E115:E116"/>
    <mergeCell ref="D115:D116"/>
    <mergeCell ref="C115:C116"/>
    <mergeCell ref="E117:E118"/>
    <mergeCell ref="D117:D118"/>
    <mergeCell ref="C117:C118"/>
    <mergeCell ref="E112:E113"/>
    <mergeCell ref="D112:D113"/>
    <mergeCell ref="C112:C113"/>
    <mergeCell ref="E131:E132"/>
    <mergeCell ref="D131:D132"/>
    <mergeCell ref="C131:C132"/>
    <mergeCell ref="E136:E137"/>
    <mergeCell ref="D136:D137"/>
    <mergeCell ref="C136:C137"/>
    <mergeCell ref="E120:E124"/>
    <mergeCell ref="D120:D124"/>
    <mergeCell ref="C120:C124"/>
    <mergeCell ref="E126:E127"/>
    <mergeCell ref="D126:D127"/>
    <mergeCell ref="C126:C127"/>
    <mergeCell ref="E157:E158"/>
    <mergeCell ref="D157:D158"/>
    <mergeCell ref="C157:C158"/>
    <mergeCell ref="E159:E160"/>
    <mergeCell ref="D159:D160"/>
    <mergeCell ref="C159:C160"/>
    <mergeCell ref="E151:E153"/>
    <mergeCell ref="D151:D153"/>
    <mergeCell ref="C151:C153"/>
    <mergeCell ref="E154:E155"/>
    <mergeCell ref="D154:D155"/>
    <mergeCell ref="C154:C155"/>
    <mergeCell ref="E165:E168"/>
    <mergeCell ref="D165:D168"/>
    <mergeCell ref="C165:C168"/>
    <mergeCell ref="E161:E162"/>
    <mergeCell ref="D161:D162"/>
    <mergeCell ref="C161:C162"/>
    <mergeCell ref="E163:E164"/>
    <mergeCell ref="D163:D164"/>
    <mergeCell ref="C163:C164"/>
  </mergeCells>
  <phoneticPr fontId="2" type="noConversion"/>
  <printOptions horizontalCentered="1" verticalCentered="1"/>
  <pageMargins left="0" right="0" top="0" bottom="0" header="0" footer="0"/>
  <pageSetup scale="44" fitToHeight="2" orientation="portrait" r:id="rId1"/>
  <rowBreaks count="2" manualBreakCount="2">
    <brk id="109" min="1" max="8" man="1"/>
    <brk id="196" min="1" max="8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D14AC8-3122-4FD4-9687-285224296AE9}">
          <x14:formula1>
            <xm:f>'Lista de empresas'!$A$2:$A$31</xm:f>
          </x14:formula1>
          <xm:sqref>F4:F8 F10:F20 F22:F29 F39:F68 F31:F37 F70:F110 F199:F266 F112:F197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278E-4DD4-414D-8DF1-925B2936E832}">
  <dimension ref="A1:D565"/>
  <sheetViews>
    <sheetView topLeftCell="B13" zoomScale="85" zoomScaleNormal="85" workbookViewId="0">
      <selection activeCell="D33" sqref="D33"/>
    </sheetView>
  </sheetViews>
  <sheetFormatPr baseColWidth="10" defaultRowHeight="12.75" x14ac:dyDescent="0.2"/>
  <cols>
    <col min="1" max="1" width="33.85546875" style="1" bestFit="1" customWidth="1"/>
    <col min="3" max="3" width="24.42578125" bestFit="1" customWidth="1"/>
  </cols>
  <sheetData>
    <row r="1" spans="1:4" x14ac:dyDescent="0.2">
      <c r="C1" s="14" t="s">
        <v>177</v>
      </c>
    </row>
    <row r="2" spans="1:4" x14ac:dyDescent="0.2">
      <c r="A2" s="16" t="s">
        <v>69</v>
      </c>
      <c r="B2" t="str">
        <f t="shared" ref="B2:B32" si="0">CONCATENATE($C$1," ILIKE ", "'%",A2,"%'")</f>
        <v>"Empresa" ILIKE '%Autoboy S.A%'</v>
      </c>
      <c r="C2" s="16" t="s">
        <v>69</v>
      </c>
      <c r="D2" t="str">
        <f t="shared" ref="D2:D33" si="1">CONCATENATE($C$1," ILIKE ", "'%",C2,"%'")</f>
        <v>"Empresa" ILIKE '%Autoboy S.A%'</v>
      </c>
    </row>
    <row r="3" spans="1:4" x14ac:dyDescent="0.2">
      <c r="A3" s="16" t="s">
        <v>178</v>
      </c>
      <c r="B3" t="str">
        <f t="shared" si="0"/>
        <v>"Empresa" ILIKE '%Brasilia%'</v>
      </c>
      <c r="C3" s="15" t="s">
        <v>162</v>
      </c>
      <c r="D3" t="str">
        <f t="shared" si="1"/>
        <v>"Empresa" ILIKE '%Arcotrans%'</v>
      </c>
    </row>
    <row r="4" spans="1:4" x14ac:dyDescent="0.2">
      <c r="A4" s="16" t="s">
        <v>179</v>
      </c>
      <c r="B4" t="str">
        <f t="shared" si="0"/>
        <v>"Empresa" ILIKE '%Citracom%'</v>
      </c>
      <c r="C4" s="15" t="s">
        <v>165</v>
      </c>
      <c r="D4" t="str">
        <f t="shared" si="1"/>
        <v>"Empresa" ILIKE '%Berlinas%'</v>
      </c>
    </row>
    <row r="5" spans="1:4" x14ac:dyDescent="0.2">
      <c r="A5" s="17" t="s">
        <v>73</v>
      </c>
      <c r="B5" t="str">
        <f t="shared" si="0"/>
        <v>"Empresa" ILIKE '%Coflonorte LTDA.%'</v>
      </c>
      <c r="C5" s="17" t="s">
        <v>178</v>
      </c>
      <c r="D5" t="str">
        <f t="shared" si="1"/>
        <v>"Empresa" ILIKE '%Brasilia%'</v>
      </c>
    </row>
    <row r="6" spans="1:4" x14ac:dyDescent="0.2">
      <c r="A6" s="17" t="s">
        <v>96</v>
      </c>
      <c r="B6" t="str">
        <f t="shared" si="0"/>
        <v>"Empresa" ILIKE '%Comultransvilla%'</v>
      </c>
      <c r="C6" s="17" t="s">
        <v>179</v>
      </c>
      <c r="D6" t="str">
        <f t="shared" si="1"/>
        <v>"Empresa" ILIKE '%Citracom%'</v>
      </c>
    </row>
    <row r="7" spans="1:4" x14ac:dyDescent="0.2">
      <c r="A7" s="15" t="s">
        <v>162</v>
      </c>
      <c r="B7" t="str">
        <f t="shared" si="0"/>
        <v>"Empresa" ILIKE '%Arcotrans%'</v>
      </c>
      <c r="C7" s="17" t="s">
        <v>73</v>
      </c>
      <c r="D7" t="str">
        <f t="shared" si="1"/>
        <v>"Empresa" ILIKE '%Coflonorte LTDA.%'</v>
      </c>
    </row>
    <row r="8" spans="1:4" x14ac:dyDescent="0.2">
      <c r="A8" s="15" t="s">
        <v>165</v>
      </c>
      <c r="B8" t="str">
        <f t="shared" si="0"/>
        <v>"Empresa" ILIKE '%Berlinas%'</v>
      </c>
      <c r="C8" s="17" t="s">
        <v>96</v>
      </c>
      <c r="D8" t="str">
        <f t="shared" si="1"/>
        <v>"Empresa" ILIKE '%Comultransvilla%'</v>
      </c>
    </row>
    <row r="9" spans="1:4" x14ac:dyDescent="0.2">
      <c r="A9" s="17" t="s">
        <v>97</v>
      </c>
      <c r="B9" t="str">
        <f t="shared" si="0"/>
        <v>"Empresa" ILIKE '%Cooflotax%'</v>
      </c>
      <c r="C9" s="17" t="s">
        <v>97</v>
      </c>
      <c r="D9" t="str">
        <f t="shared" si="1"/>
        <v>"Empresa" ILIKE '%Cooflotax%'</v>
      </c>
    </row>
    <row r="10" spans="1:4" x14ac:dyDescent="0.2">
      <c r="A10" s="17" t="s">
        <v>167</v>
      </c>
      <c r="B10" t="str">
        <f t="shared" si="0"/>
        <v>"Empresa" ILIKE '%Cooperativa Santandereana%'</v>
      </c>
      <c r="C10" s="17" t="s">
        <v>167</v>
      </c>
      <c r="D10" t="str">
        <f t="shared" si="1"/>
        <v>"Empresa" ILIKE '%Cooperativa Santandereana%'</v>
      </c>
    </row>
    <row r="11" spans="1:4" x14ac:dyDescent="0.2">
      <c r="A11" s="17" t="s">
        <v>168</v>
      </c>
      <c r="B11" t="str">
        <f t="shared" si="0"/>
        <v>"Empresa" ILIKE '%Cootracero LTDA.%'</v>
      </c>
      <c r="C11" s="15" t="s">
        <v>102</v>
      </c>
      <c r="D11" t="str">
        <f t="shared" si="1"/>
        <v>"Empresa" ILIKE '%Coopetran%'</v>
      </c>
    </row>
    <row r="12" spans="1:4" x14ac:dyDescent="0.2">
      <c r="A12" s="17" t="s">
        <v>169</v>
      </c>
      <c r="B12" t="str">
        <f t="shared" si="0"/>
        <v>"Empresa" ILIKE '%Cootrachica%'</v>
      </c>
      <c r="C12" s="17" t="s">
        <v>169</v>
      </c>
      <c r="D12" t="str">
        <f t="shared" si="1"/>
        <v>"Empresa" ILIKE '%Cootrachica%'</v>
      </c>
    </row>
    <row r="13" spans="1:4" x14ac:dyDescent="0.2">
      <c r="A13" s="17" t="s">
        <v>75</v>
      </c>
      <c r="B13" t="str">
        <f t="shared" si="0"/>
        <v>"Empresa" ILIKE '%Cootransbol LTDA.%'</v>
      </c>
      <c r="C13" s="17" t="s">
        <v>75</v>
      </c>
      <c r="D13" t="str">
        <f t="shared" si="1"/>
        <v>"Empresa" ILIKE '%Cootransbol LTDA.%'</v>
      </c>
    </row>
    <row r="14" spans="1:4" x14ac:dyDescent="0.2">
      <c r="A14" s="17" t="s">
        <v>170</v>
      </c>
      <c r="B14" t="str">
        <f t="shared" si="0"/>
        <v>"Empresa" ILIKE '%Cootransvalle Samaca%'</v>
      </c>
      <c r="C14" s="15" t="s">
        <v>166</v>
      </c>
      <c r="D14" t="str">
        <f>CONCATENATE($C$1," ILIKE ", "'%",C14,"%'")</f>
        <v>"Empresa" ILIKE '%Cootransbolivar%'</v>
      </c>
    </row>
    <row r="15" spans="1:4" x14ac:dyDescent="0.2">
      <c r="A15" s="17" t="s">
        <v>171</v>
      </c>
      <c r="B15" t="str">
        <f t="shared" si="0"/>
        <v>"Empresa" ILIKE '%Copetran%'</v>
      </c>
      <c r="C15" s="17" t="s">
        <v>170</v>
      </c>
      <c r="D15" t="str">
        <f t="shared" si="1"/>
        <v>"Empresa" ILIKE '%Cootransvalle Samaca%'</v>
      </c>
    </row>
    <row r="16" spans="1:4" x14ac:dyDescent="0.2">
      <c r="A16" s="17" t="s">
        <v>137</v>
      </c>
      <c r="B16" t="str">
        <f t="shared" si="0"/>
        <v>"Empresa" ILIKE '%Cotransricaute%'</v>
      </c>
      <c r="C16" s="17" t="s">
        <v>171</v>
      </c>
      <c r="D16" t="str">
        <f t="shared" si="1"/>
        <v>"Empresa" ILIKE '%Copetran%'</v>
      </c>
    </row>
    <row r="17" spans="1:4" x14ac:dyDescent="0.2">
      <c r="A17" s="17" t="s">
        <v>89</v>
      </c>
      <c r="B17" t="str">
        <f t="shared" si="0"/>
        <v>"Empresa" ILIKE '%El Rapido Duitama LTDA.%'</v>
      </c>
      <c r="C17" s="17" t="s">
        <v>137</v>
      </c>
      <c r="D17" t="str">
        <f t="shared" si="1"/>
        <v>"Empresa" ILIKE '%Cotransricaute%'</v>
      </c>
    </row>
    <row r="18" spans="1:4" x14ac:dyDescent="0.2">
      <c r="A18" s="15" t="s">
        <v>108</v>
      </c>
      <c r="B18" t="str">
        <f t="shared" si="0"/>
        <v>"Empresa" ILIKE '%Expreso Gaviota%'</v>
      </c>
      <c r="C18" s="17" t="s">
        <v>89</v>
      </c>
      <c r="D18" t="str">
        <f t="shared" si="1"/>
        <v>"Empresa" ILIKE '%El Rapido Duitama LTDA.%'</v>
      </c>
    </row>
    <row r="19" spans="1:4" x14ac:dyDescent="0.2">
      <c r="A19" s="17" t="s">
        <v>123</v>
      </c>
      <c r="B19" t="str">
        <f t="shared" si="0"/>
        <v>"Empresa" ILIKE '%Expreso Los Patriotas%'</v>
      </c>
      <c r="C19" s="15" t="s">
        <v>108</v>
      </c>
      <c r="D19" t="str">
        <f t="shared" si="1"/>
        <v>"Empresa" ILIKE '%Expreso Gaviota%'</v>
      </c>
    </row>
    <row r="20" spans="1:4" x14ac:dyDescent="0.2">
      <c r="A20" s="17" t="s">
        <v>172</v>
      </c>
      <c r="B20" t="str">
        <f t="shared" si="0"/>
        <v>"Empresa" ILIKE '%Expreso Paz del Rio S.A%'</v>
      </c>
      <c r="C20" s="17" t="s">
        <v>123</v>
      </c>
      <c r="D20" t="str">
        <f t="shared" si="1"/>
        <v>"Empresa" ILIKE '%Expreso Los Patriotas%'</v>
      </c>
    </row>
    <row r="21" spans="1:4" x14ac:dyDescent="0.2">
      <c r="A21" s="17" t="s">
        <v>173</v>
      </c>
      <c r="B21" t="str">
        <f t="shared" si="0"/>
        <v>"Empresa" ILIKE '%Flota Boyaca%'</v>
      </c>
      <c r="C21" s="17" t="s">
        <v>172</v>
      </c>
      <c r="D21" t="str">
        <f t="shared" si="1"/>
        <v>"Empresa" ILIKE '%Expreso Paz del Rio S.A%'</v>
      </c>
    </row>
    <row r="22" spans="1:4" x14ac:dyDescent="0.2">
      <c r="A22" s="17" t="s">
        <v>144</v>
      </c>
      <c r="B22" t="str">
        <f t="shared" si="0"/>
        <v>"Empresa" ILIKE '%Flota Sugamuxi S.A.%'</v>
      </c>
      <c r="C22" s="17" t="s">
        <v>173</v>
      </c>
      <c r="D22" t="str">
        <f t="shared" si="1"/>
        <v>"Empresa" ILIKE '%Flota Boyaca%'</v>
      </c>
    </row>
    <row r="23" spans="1:4" x14ac:dyDescent="0.2">
      <c r="A23" s="17" t="s">
        <v>150</v>
      </c>
      <c r="B23" t="str">
        <f t="shared" si="0"/>
        <v>"Empresa" ILIKE '%Flota Valle de Tenza S.A%'</v>
      </c>
      <c r="C23" s="17" t="s">
        <v>144</v>
      </c>
      <c r="D23" t="str">
        <f t="shared" si="1"/>
        <v>"Empresa" ILIKE '%Flota Sugamuxi S.A.%'</v>
      </c>
    </row>
    <row r="24" spans="1:4" x14ac:dyDescent="0.2">
      <c r="A24" s="17" t="s">
        <v>163</v>
      </c>
      <c r="B24" t="str">
        <f t="shared" si="0"/>
        <v>"Empresa" ILIKE '%Gran Colombiana%'</v>
      </c>
      <c r="C24" s="17" t="s">
        <v>150</v>
      </c>
      <c r="D24" t="str">
        <f t="shared" si="1"/>
        <v>"Empresa" ILIKE '%Flota Valle de Tenza S.A%'</v>
      </c>
    </row>
    <row r="25" spans="1:4" x14ac:dyDescent="0.2">
      <c r="A25" s="17" t="s">
        <v>112</v>
      </c>
      <c r="B25" t="str">
        <f t="shared" si="0"/>
        <v>"Empresa" ILIKE '%La Reina%'</v>
      </c>
      <c r="C25" s="17" t="s">
        <v>163</v>
      </c>
      <c r="D25" t="str">
        <f t="shared" si="1"/>
        <v>"Empresa" ILIKE '%Gran Colombiana%'</v>
      </c>
    </row>
    <row r="26" spans="1:4" x14ac:dyDescent="0.2">
      <c r="A26" s="17" t="s">
        <v>174</v>
      </c>
      <c r="B26" t="str">
        <f t="shared" si="0"/>
        <v>"Empresa" ILIKE '%La Verde%'</v>
      </c>
      <c r="C26" s="17" t="s">
        <v>112</v>
      </c>
      <c r="D26" t="str">
        <f t="shared" si="1"/>
        <v>"Empresa" ILIKE '%La Reina%'</v>
      </c>
    </row>
    <row r="27" spans="1:4" x14ac:dyDescent="0.2">
      <c r="A27" s="17" t="s">
        <v>116</v>
      </c>
      <c r="B27" t="str">
        <f t="shared" si="0"/>
        <v>"Empresa" ILIKE '%Los Delfines%'</v>
      </c>
      <c r="C27" s="17" t="s">
        <v>174</v>
      </c>
      <c r="D27" t="str">
        <f t="shared" si="1"/>
        <v>"Empresa" ILIKE '%La Verde%'</v>
      </c>
    </row>
    <row r="28" spans="1:4" x14ac:dyDescent="0.2">
      <c r="A28" s="17" t="s">
        <v>164</v>
      </c>
      <c r="B28" t="str">
        <f t="shared" si="0"/>
        <v>"Empresa" ILIKE '%Los Muiscas%'</v>
      </c>
      <c r="C28" s="17" t="s">
        <v>116</v>
      </c>
      <c r="D28" t="str">
        <f t="shared" si="1"/>
        <v>"Empresa" ILIKE '%Los Delfines%'</v>
      </c>
    </row>
    <row r="29" spans="1:4" x14ac:dyDescent="0.2">
      <c r="A29" s="17" t="s">
        <v>127</v>
      </c>
      <c r="B29" t="str">
        <f t="shared" si="0"/>
        <v>"Empresa" ILIKE '%Omega%'</v>
      </c>
      <c r="C29" s="17" t="s">
        <v>164</v>
      </c>
      <c r="D29" t="str">
        <f t="shared" si="1"/>
        <v>"Empresa" ILIKE '%Los Muiscas%'</v>
      </c>
    </row>
    <row r="30" spans="1:4" x14ac:dyDescent="0.2">
      <c r="A30" s="17" t="s">
        <v>175</v>
      </c>
      <c r="B30" t="str">
        <f t="shared" si="0"/>
        <v>"Empresa" ILIKE '%Transpino S.A%'</v>
      </c>
      <c r="C30" s="17" t="s">
        <v>127</v>
      </c>
      <c r="D30" t="str">
        <f t="shared" si="1"/>
        <v>"Empresa" ILIKE '%Omega%'</v>
      </c>
    </row>
    <row r="31" spans="1:4" x14ac:dyDescent="0.2">
      <c r="A31" s="17" t="s">
        <v>140</v>
      </c>
      <c r="B31" t="str">
        <f t="shared" si="0"/>
        <v>"Empresa" ILIKE '%Transportes Bolivar S.A%'</v>
      </c>
      <c r="C31" s="17" t="s">
        <v>175</v>
      </c>
      <c r="D31" t="str">
        <f t="shared" si="1"/>
        <v>"Empresa" ILIKE '%Transpino S.A%'</v>
      </c>
    </row>
    <row r="32" spans="1:4" x14ac:dyDescent="0.2">
      <c r="A32" s="17" t="s">
        <v>176</v>
      </c>
      <c r="B32" t="str">
        <f t="shared" si="0"/>
        <v>"Empresa" ILIKE '%Trassander%'</v>
      </c>
      <c r="C32" s="17" t="s">
        <v>140</v>
      </c>
      <c r="D32" t="str">
        <f t="shared" si="1"/>
        <v>"Empresa" ILIKE '%Transportes Bolivar S.A%'</v>
      </c>
    </row>
    <row r="33" spans="1:4" x14ac:dyDescent="0.2">
      <c r="A33"/>
      <c r="C33" s="17" t="s">
        <v>176</v>
      </c>
      <c r="D33" t="str">
        <f t="shared" si="1"/>
        <v>"Empresa" ILIKE '%Trassander%'</v>
      </c>
    </row>
    <row r="34" spans="1:4" x14ac:dyDescent="0.2">
      <c r="A34"/>
    </row>
    <row r="35" spans="1:4" x14ac:dyDescent="0.2">
      <c r="A35"/>
    </row>
    <row r="36" spans="1:4" x14ac:dyDescent="0.2">
      <c r="A36"/>
    </row>
    <row r="37" spans="1:4" x14ac:dyDescent="0.2">
      <c r="A37"/>
    </row>
    <row r="38" spans="1:4" x14ac:dyDescent="0.2">
      <c r="A38"/>
    </row>
    <row r="39" spans="1:4" x14ac:dyDescent="0.2">
      <c r="A39"/>
    </row>
    <row r="40" spans="1:4" x14ac:dyDescent="0.2">
      <c r="A40"/>
    </row>
    <row r="41" spans="1:4" x14ac:dyDescent="0.2">
      <c r="A41"/>
    </row>
    <row r="42" spans="1:4" x14ac:dyDescent="0.2">
      <c r="A42"/>
    </row>
    <row r="43" spans="1:4" x14ac:dyDescent="0.2">
      <c r="A43"/>
    </row>
    <row r="44" spans="1:4" x14ac:dyDescent="0.2">
      <c r="A44"/>
    </row>
    <row r="45" spans="1:4" x14ac:dyDescent="0.2">
      <c r="A45"/>
    </row>
    <row r="46" spans="1:4" x14ac:dyDescent="0.2">
      <c r="A46"/>
    </row>
    <row r="47" spans="1:4" x14ac:dyDescent="0.2">
      <c r="A47"/>
    </row>
    <row r="48" spans="1:4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</sheetData>
  <sortState xmlns:xlrd2="http://schemas.microsoft.com/office/spreadsheetml/2017/richdata2" ref="C3:C34">
    <sortCondition ref="C2:C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9F3669-4FE0-46A5-895D-EE5FB08D56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 de empresas</vt:lpstr>
      <vt:lpstr>Rutas</vt:lpstr>
      <vt:lpstr>Hoja2</vt:lpstr>
      <vt:lpstr>Rutas!Área_de_impresión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Rivera</dc:creator>
  <cp:lastModifiedBy>Susana Rivera</cp:lastModifiedBy>
  <cp:lastPrinted>2026-04-17T19:42:15Z</cp:lastPrinted>
  <dcterms:created xsi:type="dcterms:W3CDTF">2026-03-23T21:02:47Z</dcterms:created>
  <dcterms:modified xsi:type="dcterms:W3CDTF">2026-04-17T19:48:26Z</dcterms:modified>
</cp:coreProperties>
</file>